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pandurata-my.sharepoint.com/personal/cristianl_bauducco_com_br/Documents/tudo/Particular/DIO/organizador de declaração IR/"/>
    </mc:Choice>
  </mc:AlternateContent>
  <xr:revisionPtr revIDLastSave="0" documentId="8_{82422B5A-B166-4515-93B6-E946926E2D69}" xr6:coauthVersionLast="47" xr6:coauthVersionMax="47" xr10:uidLastSave="{00000000-0000-0000-0000-000000000000}"/>
  <bookViews>
    <workbookView xWindow="-110" yWindow="-110" windowWidth="19420" windowHeight="10420" tabRatio="0" firstSheet="2" activeTab="2" xr2:uid="{C147A333-F70C-4864-ACDA-FD62D654AFA6}"/>
  </bookViews>
  <sheets>
    <sheet name="TÍTULAR" sheetId="1" r:id="rId1"/>
    <sheet name="INFORMES" sheetId="2" r:id="rId2"/>
    <sheet name="NOTAS" sheetId="3" r:id="rId3"/>
    <sheet name="RESUMO" sheetId="6" r:id="rId4"/>
    <sheet name="TABELAS" sheetId="4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6" l="1"/>
  <c r="D14" i="6"/>
  <c r="D20" i="6"/>
  <c r="D15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47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48" i="6"/>
  <c r="C47" i="6"/>
  <c r="D43" i="6" l="1"/>
  <c r="D42" i="6"/>
  <c r="D41" i="6"/>
  <c r="D38" i="6"/>
  <c r="D37" i="6"/>
  <c r="D36" i="6"/>
  <c r="D33" i="6"/>
  <c r="D31" i="6"/>
  <c r="D32" i="6"/>
  <c r="D11" i="6"/>
  <c r="D12" i="6"/>
  <c r="D13" i="6"/>
  <c r="D16" i="6"/>
  <c r="D17" i="6"/>
  <c r="D18" i="6"/>
  <c r="D19" i="6"/>
  <c r="D21" i="6"/>
  <c r="D22" i="6"/>
  <c r="D23" i="6"/>
  <c r="D10" i="6"/>
  <c r="C7" i="2" l="1"/>
</calcChain>
</file>

<file path=xl/sharedStrings.xml><?xml version="1.0" encoding="utf-8"?>
<sst xmlns="http://schemas.openxmlformats.org/spreadsheetml/2006/main" count="148" uniqueCount="100">
  <si>
    <t>NOME</t>
  </si>
  <si>
    <t>CPF</t>
  </si>
  <si>
    <t>NASCIMENTO</t>
  </si>
  <si>
    <t>TÍTULO DE ELEITOR</t>
  </si>
  <si>
    <t>CÓNJUGE</t>
  </si>
  <si>
    <t>RUA</t>
  </si>
  <si>
    <t>RUA ABREVIADA</t>
  </si>
  <si>
    <t>CEP</t>
  </si>
  <si>
    <t>TELEFONE</t>
  </si>
  <si>
    <t>CELULAR</t>
  </si>
  <si>
    <t>E-MAIL</t>
  </si>
  <si>
    <t>HOUVE ALTERAÇÃO DA ENTREGA ANTERIOR?</t>
  </si>
  <si>
    <t>DEPENDENTE CONJUGE</t>
  </si>
  <si>
    <t>RESIDENTE DO EXTERIOR</t>
  </si>
  <si>
    <t>1. DADOS DO TITULAR</t>
  </si>
  <si>
    <t>Preencha os dados da sua pessoa física abaixo</t>
  </si>
  <si>
    <t>NÃO</t>
  </si>
  <si>
    <t>XPTO DA SILVA</t>
  </si>
  <si>
    <t>R.ACACIAS, Nº12</t>
  </si>
  <si>
    <t>RUA DAS ACACIAS, NÚMERO 12</t>
  </si>
  <si>
    <t>MARA DA PENHA</t>
  </si>
  <si>
    <t>7777DDDD777</t>
  </si>
  <si>
    <t>31/02/1980</t>
  </si>
  <si>
    <t>XPTODASILVA@GMAIL.COM</t>
  </si>
  <si>
    <t>2. INFORMES DE RENDIMENTOS BANCÁRIOS</t>
  </si>
  <si>
    <t>Preencha com os seus dados atuais de cada banco</t>
  </si>
  <si>
    <t>BANCO</t>
  </si>
  <si>
    <t>VALOR ATUAL</t>
  </si>
  <si>
    <t>ANEXO📎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</si>
  <si>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</si>
  <si>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</si>
  <si>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</si>
  <si>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</si>
  <si>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</si>
  <si>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</si>
  <si>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</si>
  <si>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</si>
  <si>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</si>
  <si>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</si>
  <si>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</si>
  <si>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</si>
  <si>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</si>
  <si>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</si>
  <si>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</si>
  <si>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</si>
  <si>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</si>
  <si>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</si>
  <si>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</si>
  <si>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</si>
  <si>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</si>
  <si>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</si>
  <si>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</si>
  <si>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</si>
  <si>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</si>
  <si>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</si>
  <si>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</si>
  <si>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</si>
  <si>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</si>
  <si>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</si>
  <si>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</si>
  <si>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</si>
  <si>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</si>
  <si>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</si>
  <si>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</si>
  <si>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</si>
  <si>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</si>
  <si>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</si>
  <si>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</si>
  <si>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</si>
  <si>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</si>
  <si>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</si>
  <si>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</si>
  <si>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</si>
  <si>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</si>
  <si>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</si>
  <si>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</si>
  <si>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</si>
  <si>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</si>
  <si>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</si>
  <si>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</si>
  <si>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WUB2025.PDF</t>
  </si>
  <si>
    <t>1º Banco</t>
  </si>
  <si>
    <t>2º Banco</t>
  </si>
  <si>
    <t>3º Banco</t>
  </si>
  <si>
    <t>sant2025.PDF</t>
  </si>
  <si>
    <t>TOTAL</t>
  </si>
  <si>
    <t>3. NOTAS BANCARIAS OU EXTRATOS DE HOLERITES</t>
  </si>
  <si>
    <t xml:space="preserve">São todos os valores de entrada mês a mês </t>
  </si>
  <si>
    <t>DATA</t>
  </si>
  <si>
    <t xml:space="preserve">CATEGORIA </t>
  </si>
  <si>
    <t>VALOR</t>
  </si>
  <si>
    <t>ENTRADAS</t>
  </si>
  <si>
    <t>HOLERITE</t>
  </si>
  <si>
    <t>RESUMO DECLARAÇÃO</t>
  </si>
  <si>
    <t>TITULAR</t>
  </si>
  <si>
    <t>CONSOLIDADO DAS INFORMAÇÕES</t>
  </si>
  <si>
    <t>INFORMES</t>
  </si>
  <si>
    <t>CNPJ</t>
  </si>
  <si>
    <t>NOTAS - ENTRADAS</t>
  </si>
  <si>
    <t>FREELANCE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</si>
</sst>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8" formatCode="[$-F800]dddd\,\ mmmm\ dd\,\ yyyy"/>
    <numFmt numFmtId="170" formatCode="000&quot;.&quot;000&quot;.&quot;000&quot;-&quot;00"/>
    <numFmt numFmtId="171" formatCode="00000\-000"/>
    <numFmt numFmtId="172" formatCode="&quot;(&quot;00&quot;)&quot;0000&quot;-&quot;0000"/>
    <numFmt numFmtId="173" formatCode="&quot;(&quot;00&quot;)&quot;00000&quot;-&quot;0000"/>
    <numFmt numFmtId="174" formatCode="&quot;R$&quot;\ #,##0.00"/>
    <numFmt numFmtId="177" formatCode="mm;yyyy"/>
  </numFmts>
  <fonts count="13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Segoe UI Light"/>
      <family val="2"/>
    </font>
    <font>
      <b/>
      <sz val="15"/>
      <color rgb="FF7030A0"/>
      <name val="Segoe UI Light"/>
      <family val="2"/>
    </font>
    <font>
      <i/>
      <sz val="11"/>
      <color rgb="FF7030A0"/>
      <name val="Segoe UI Light"/>
      <family val="2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9"/>
      <color theme="2" tint="-0.499984740745262"/>
      <name val="Aptos Narrow"/>
      <family val="2"/>
      <scheme val="minor"/>
    </font>
    <font>
      <b/>
      <sz val="12"/>
      <color rgb="FF9C5700"/>
      <name val="Aptos Narrow"/>
      <family val="2"/>
      <scheme val="minor"/>
    </font>
    <font>
      <b/>
      <sz val="11"/>
      <color theme="1"/>
      <name val="Segoe UI Light"/>
      <family val="2"/>
    </font>
    <font>
      <b/>
      <sz val="11"/>
      <color theme="0"/>
      <name val="Segoe UI Light"/>
      <family val="2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0E131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theme="8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ck">
        <color theme="7" tint="0.39994506668294322"/>
      </bottom>
      <diagonal/>
    </border>
    <border>
      <left/>
      <right/>
      <top style="thick">
        <color theme="7" tint="0.39994506668294322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dotted">
        <color theme="0" tint="-4.9989318521683403E-2"/>
      </right>
      <top style="dotted">
        <color theme="0" tint="-4.9989318521683403E-2"/>
      </top>
      <bottom style="dotted">
        <color theme="0" tint="-4.9989318521683403E-2"/>
      </bottom>
      <diagonal/>
    </border>
    <border>
      <left style="dotted">
        <color theme="0" tint="-4.9989318521683403E-2"/>
      </left>
      <right style="dotted">
        <color theme="0" tint="-4.9989318521683403E-2"/>
      </right>
      <top style="dotted">
        <color theme="0" tint="-4.9989318521683403E-2"/>
      </top>
      <bottom style="dotted">
        <color theme="0" tint="-4.9989318521683403E-2"/>
      </bottom>
      <diagonal/>
    </border>
    <border>
      <left style="dotted">
        <color theme="0" tint="-4.9989318521683403E-2"/>
      </left>
      <right/>
      <top style="dotted">
        <color theme="0" tint="-4.9989318521683403E-2"/>
      </top>
      <bottom style="dotted">
        <color theme="0" tint="-4.9989318521683403E-2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0" fillId="3" borderId="0" xfId="0" applyFill="1"/>
    <xf numFmtId="0" fontId="4" fillId="0" borderId="0" xfId="0" applyFont="1"/>
    <xf numFmtId="0" fontId="4" fillId="0" borderId="2" xfId="0" applyFont="1" applyBorder="1" applyAlignment="1">
      <alignment horizontal="right"/>
    </xf>
    <xf numFmtId="0" fontId="1" fillId="0" borderId="3" xfId="1" applyBorder="1"/>
    <xf numFmtId="0" fontId="5" fillId="0" borderId="3" xfId="1" applyFont="1" applyBorder="1"/>
    <xf numFmtId="0" fontId="6" fillId="4" borderId="4" xfId="0" applyFont="1" applyFill="1" applyBorder="1" applyAlignment="1">
      <alignment horizontal="left" vertical="center" indent="2"/>
    </xf>
    <xf numFmtId="0" fontId="8" fillId="0" borderId="0" xfId="0" applyFont="1"/>
    <xf numFmtId="0" fontId="3" fillId="3" borderId="0" xfId="0" applyFont="1" applyFill="1"/>
    <xf numFmtId="0" fontId="9" fillId="0" borderId="0" xfId="0" applyFont="1"/>
    <xf numFmtId="0" fontId="11" fillId="0" borderId="0" xfId="0" applyFont="1" applyAlignment="1">
      <alignment horizontal="center" vertical="center"/>
    </xf>
    <xf numFmtId="0" fontId="12" fillId="5" borderId="0" xfId="0" applyFont="1" applyFill="1" applyAlignment="1">
      <alignment horizontal="center"/>
    </xf>
    <xf numFmtId="0" fontId="2" fillId="2" borderId="2" xfId="2" applyBorder="1" applyAlignment="1" applyProtection="1">
      <alignment horizontal="left"/>
      <protection locked="0"/>
    </xf>
    <xf numFmtId="170" fontId="2" fillId="2" borderId="2" xfId="2" applyNumberFormat="1" applyBorder="1" applyAlignment="1" applyProtection="1">
      <alignment horizontal="left"/>
      <protection locked="0"/>
    </xf>
    <xf numFmtId="168" fontId="2" fillId="2" borderId="2" xfId="2" applyNumberFormat="1" applyBorder="1" applyAlignment="1" applyProtection="1">
      <alignment horizontal="left"/>
      <protection locked="0"/>
    </xf>
    <xf numFmtId="171" fontId="2" fillId="2" borderId="2" xfId="2" applyNumberFormat="1" applyBorder="1" applyAlignment="1" applyProtection="1">
      <alignment horizontal="left"/>
      <protection locked="0"/>
    </xf>
    <xf numFmtId="172" fontId="2" fillId="2" borderId="2" xfId="2" applyNumberFormat="1" applyBorder="1" applyAlignment="1" applyProtection="1">
      <alignment horizontal="left"/>
      <protection locked="0"/>
    </xf>
    <xf numFmtId="173" fontId="2" fillId="2" borderId="2" xfId="2" applyNumberFormat="1" applyBorder="1" applyAlignment="1" applyProtection="1">
      <alignment horizontal="left"/>
      <protection locked="0"/>
    </xf>
    <xf numFmtId="0" fontId="7" fillId="2" borderId="2" xfId="3" applyFill="1" applyBorder="1" applyAlignment="1" applyProtection="1">
      <alignment horizontal="left"/>
      <protection locked="0"/>
    </xf>
    <xf numFmtId="174" fontId="10" fillId="2" borderId="0" xfId="2" applyNumberFormat="1" applyFont="1" applyAlignment="1" applyProtection="1">
      <alignment horizontal="center"/>
      <protection locked="0"/>
    </xf>
    <xf numFmtId="0" fontId="10" fillId="2" borderId="0" xfId="2" applyFont="1" applyAlignment="1" applyProtection="1">
      <alignment horizontal="center"/>
      <protection locked="0"/>
    </xf>
    <xf numFmtId="174" fontId="2" fillId="2" borderId="2" xfId="2" applyNumberFormat="1" applyBorder="1" applyAlignment="1" applyProtection="1">
      <alignment horizontal="left"/>
      <protection locked="0"/>
    </xf>
    <xf numFmtId="17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174" fontId="0" fillId="0" borderId="0" xfId="0" applyNumberFormat="1" applyAlignment="1" applyProtection="1">
      <alignment horizontal="center"/>
      <protection locked="0"/>
    </xf>
    <xf numFmtId="177" fontId="0" fillId="0" borderId="0" xfId="0" applyNumberFormat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  <protection locked="0"/>
    </xf>
    <xf numFmtId="0" fontId="4" fillId="6" borderId="8" xfId="0" applyFont="1" applyFill="1" applyBorder="1" applyAlignment="1">
      <alignment horizontal="right"/>
    </xf>
    <xf numFmtId="0" fontId="12" fillId="7" borderId="5" xfId="0" applyFont="1" applyFill="1" applyBorder="1" applyAlignment="1">
      <alignment horizontal="center" vertical="center"/>
    </xf>
    <xf numFmtId="0" fontId="12" fillId="7" borderId="6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4" fillId="6" borderId="8" xfId="0" applyFont="1" applyFill="1" applyBorder="1" applyAlignment="1" applyProtection="1">
      <alignment horizontal="right"/>
    </xf>
    <xf numFmtId="0" fontId="2" fillId="6" borderId="8" xfId="2" applyFill="1" applyBorder="1" applyAlignment="1" applyProtection="1">
      <alignment horizontal="left"/>
    </xf>
    <xf numFmtId="170" fontId="2" fillId="6" borderId="8" xfId="2" applyNumberFormat="1" applyFill="1" applyBorder="1" applyAlignment="1" applyProtection="1">
      <alignment horizontal="left"/>
    </xf>
    <xf numFmtId="171" fontId="2" fillId="6" borderId="8" xfId="2" applyNumberFormat="1" applyFill="1" applyBorder="1" applyAlignment="1" applyProtection="1">
      <alignment horizontal="left"/>
    </xf>
    <xf numFmtId="172" fontId="2" fillId="6" borderId="8" xfId="2" applyNumberFormat="1" applyFill="1" applyBorder="1" applyAlignment="1" applyProtection="1">
      <alignment horizontal="left"/>
    </xf>
    <xf numFmtId="173" fontId="2" fillId="6" borderId="8" xfId="2" applyNumberFormat="1" applyFill="1" applyBorder="1" applyAlignment="1" applyProtection="1">
      <alignment horizontal="left"/>
    </xf>
    <xf numFmtId="174" fontId="2" fillId="6" borderId="8" xfId="2" applyNumberFormat="1" applyFill="1" applyBorder="1" applyAlignment="1" applyProtection="1">
      <alignment horizontal="left"/>
    </xf>
    <xf numFmtId="174" fontId="10" fillId="6" borderId="0" xfId="2" applyNumberFormat="1" applyFont="1" applyFill="1" applyAlignment="1" applyProtection="1">
      <alignment horizontal="center"/>
    </xf>
    <xf numFmtId="0" fontId="10" fillId="6" borderId="0" xfId="2" applyFont="1" applyFill="1" applyAlignment="1" applyProtection="1">
      <alignment horizontal="center"/>
    </xf>
    <xf numFmtId="17" fontId="2" fillId="6" borderId="9" xfId="2" applyNumberFormat="1" applyFill="1" applyBorder="1" applyAlignment="1" applyProtection="1">
      <alignment horizontal="center"/>
    </xf>
    <xf numFmtId="0" fontId="2" fillId="6" borderId="10" xfId="2" applyNumberFormat="1" applyFill="1" applyBorder="1" applyAlignment="1" applyProtection="1">
      <alignment horizontal="center"/>
    </xf>
    <xf numFmtId="174" fontId="2" fillId="6" borderId="11" xfId="2" applyNumberFormat="1" applyFill="1" applyBorder="1" applyAlignment="1" applyProtection="1">
      <alignment horizontal="center"/>
    </xf>
  </cellXfs>
  <cellStyles count="4">
    <cellStyle name="Hiperlink" xfId="3" builtinId="8"/>
    <cellStyle name="Neutro" xfId="2" builtinId="28"/>
    <cellStyle name="Normal" xfId="0" builtinId="0"/>
    <cellStyle name="Título 1" xfId="1" builtinId="16"/>
  </cellStyles>
  <dxfs count="5">
    <dxf>
      <protection locked="0" hidden="0"/>
    </dxf>
    <dxf>
      <numFmt numFmtId="174" formatCode="&quot;R$&quot;\ #,##0.00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77" formatCode="mm;yyyy"/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E1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7" Type="http://schemas.openxmlformats.org/officeDocument/2006/relationships/hyperlink" Target="#RESUMO!C1"/><Relationship Id="rId2" Type="http://schemas.openxmlformats.org/officeDocument/2006/relationships/hyperlink" Target="#T&#205;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cristian-leandro-de-oliveira-38368973?utm_source=share&amp;utm_campaign=share_via&amp;utm_content=profile&amp;utm_medium=android_app" TargetMode="External"/><Relationship Id="rId4" Type="http://schemas.openxmlformats.org/officeDocument/2006/relationships/hyperlink" Target="#NOTAS!C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ESUMO!C1"/><Relationship Id="rId3" Type="http://schemas.openxmlformats.org/officeDocument/2006/relationships/hyperlink" Target="#NOTAS!C1"/><Relationship Id="rId7" Type="http://schemas.openxmlformats.org/officeDocument/2006/relationships/hyperlink" Target="#T&#205;TULAR!C1"/><Relationship Id="rId2" Type="http://schemas.openxmlformats.org/officeDocument/2006/relationships/hyperlink" Target="#T&#205;TULAR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cristian-leandro-de-oliveira-38368973?utm_source=share&amp;utm_campaign=share_via&amp;utm_content=profile&amp;utm_medium=android_app" TargetMode="External"/><Relationship Id="rId4" Type="http://schemas.openxmlformats.org/officeDocument/2006/relationships/hyperlink" Target="#NOTAS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ESUMO!C1"/><Relationship Id="rId3" Type="http://schemas.openxmlformats.org/officeDocument/2006/relationships/hyperlink" Target="#INFORMES!A1"/><Relationship Id="rId7" Type="http://schemas.openxmlformats.org/officeDocument/2006/relationships/hyperlink" Target="#INFORMES!C1"/><Relationship Id="rId2" Type="http://schemas.openxmlformats.org/officeDocument/2006/relationships/hyperlink" Target="#T&#205;TULAR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cristian-leandro-de-oliveira-38368973?utm_source=share&amp;utm_campaign=share_via&amp;utm_content=profile&amp;utm_medium=android_app" TargetMode="External"/><Relationship Id="rId4" Type="http://schemas.openxmlformats.org/officeDocument/2006/relationships/hyperlink" Target="#T&#205;TULAR!C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T&#205;TULAR!C1"/><Relationship Id="rId3" Type="http://schemas.openxmlformats.org/officeDocument/2006/relationships/hyperlink" Target="#INFORMES!A1"/><Relationship Id="rId7" Type="http://schemas.openxmlformats.org/officeDocument/2006/relationships/image" Target="../media/image5.svg"/><Relationship Id="rId2" Type="http://schemas.openxmlformats.org/officeDocument/2006/relationships/hyperlink" Target="#T&#205;TULAR!A1"/><Relationship Id="rId1" Type="http://schemas.openxmlformats.org/officeDocument/2006/relationships/image" Target="../media/image3.png"/><Relationship Id="rId6" Type="http://schemas.openxmlformats.org/officeDocument/2006/relationships/image" Target="../media/image4.png"/><Relationship Id="rId5" Type="http://schemas.openxmlformats.org/officeDocument/2006/relationships/image" Target="../media/image2.png"/><Relationship Id="rId4" Type="http://schemas.openxmlformats.org/officeDocument/2006/relationships/hyperlink" Target="https://www.linkedin.com/in/cristian-leandro-de-oliveira-38368973?utm_source=share&amp;utm_campaign=share_via&amp;utm_content=profile&amp;utm_medium=android_app" TargetMode="External"/><Relationship Id="rId9" Type="http://schemas.openxmlformats.org/officeDocument/2006/relationships/hyperlink" Target="#NOTA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196850</xdr:colOff>
      <xdr:row>2</xdr:row>
      <xdr:rowOff>188913</xdr:rowOff>
    </xdr:from>
    <xdr:to>
      <xdr:col>0</xdr:col>
      <xdr:colOff>1670050</xdr:colOff>
      <xdr:row>9</xdr:row>
      <xdr:rowOff>133350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D48AF733-6D32-2BC2-7112-E10ECCD42F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850" y="558800"/>
          <a:ext cx="1473200" cy="147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25400</xdr:colOff>
      <xdr:row>0</xdr:row>
      <xdr:rowOff>76200</xdr:rowOff>
    </xdr:from>
    <xdr:to>
      <xdr:col>0</xdr:col>
      <xdr:colOff>1841500</xdr:colOff>
      <xdr:row>2</xdr:row>
      <xdr:rowOff>165100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138786D1-ACF8-D3CC-3F06-D7A04A482ECF}"/>
            </a:ext>
          </a:extLst>
        </xdr:cNvPr>
        <xdr:cNvSpPr/>
      </xdr:nvSpPr>
      <xdr:spPr>
        <a:xfrm>
          <a:off x="25400" y="76200"/>
          <a:ext cx="1816100" cy="4572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>
                <a:gsLst>
                  <a:gs pos="36000">
                    <a:srgbClr val="7030A0">
                      <a:lumMod val="98000"/>
                    </a:srgb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LION</a:t>
          </a:r>
          <a:r>
            <a:rPr lang="pt-BR" sz="2000" b="1" baseline="0">
              <a:latin typeface="Arial Black" panose="020B0A04020102020204" pitchFamily="34" charset="0"/>
            </a:rPr>
            <a:t> </a:t>
          </a:r>
          <a:r>
            <a:rPr lang="pt-BR" sz="2000" b="1" baseline="0">
              <a:gradFill>
                <a:gsLst>
                  <a:gs pos="49000">
                    <a:srgbClr val="7030A0">
                      <a:lumMod val="91000"/>
                      <a:lumOff val="9000"/>
                    </a:srgb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APP</a:t>
          </a:r>
          <a:endParaRPr lang="pt-BR" sz="2000" b="1">
            <a:gradFill>
              <a:gsLst>
                <a:gs pos="49000">
                  <a:srgbClr val="7030A0">
                    <a:lumMod val="91000"/>
                    <a:lumOff val="9000"/>
                  </a:srgb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104775</xdr:colOff>
      <xdr:row>10</xdr:row>
      <xdr:rowOff>71621</xdr:rowOff>
    </xdr:from>
    <xdr:to>
      <xdr:col>0</xdr:col>
      <xdr:colOff>1781175</xdr:colOff>
      <xdr:row>12</xdr:row>
      <xdr:rowOff>11296</xdr:rowOff>
    </xdr:to>
    <xdr:sp macro="" textlink="">
      <xdr:nvSpPr>
        <xdr:cNvPr id="11" name="Retângulo: Cantos Arredondados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DE59112-C8A4-E0CF-B53C-A6FC8C587FA2}"/>
            </a:ext>
          </a:extLst>
        </xdr:cNvPr>
        <xdr:cNvSpPr/>
      </xdr:nvSpPr>
      <xdr:spPr>
        <a:xfrm>
          <a:off x="104775" y="2159184"/>
          <a:ext cx="1676400" cy="352425"/>
        </a:xfrm>
        <a:prstGeom prst="roundRect">
          <a:avLst>
            <a:gd name="adj" fmla="val 50000"/>
          </a:avLst>
        </a:prstGeom>
        <a:gradFill flip="none" rotWithShape="1">
          <a:gsLst>
            <a:gs pos="66000">
              <a:srgbClr val="7030A0">
                <a:lumMod val="91000"/>
                <a:lumOff val="9000"/>
              </a:srgbClr>
            </a:gs>
            <a:gs pos="89000">
              <a:schemeClr val="accent1">
                <a:lumMod val="45000"/>
                <a:lumOff val="55000"/>
                <a:alpha val="66000"/>
              </a:schemeClr>
            </a:gs>
            <a:gs pos="12000">
              <a:schemeClr val="accent1">
                <a:lumMod val="45000"/>
                <a:lumOff val="55000"/>
              </a:schemeClr>
            </a:gs>
            <a:gs pos="22000">
              <a:schemeClr val="accent1">
                <a:lumMod val="30000"/>
                <a:lumOff val="70000"/>
                <a:alpha val="78000"/>
              </a:schemeClr>
            </a:gs>
          </a:gsLst>
          <a:lin ang="135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104775</xdr:colOff>
      <xdr:row>12</xdr:row>
      <xdr:rowOff>100670</xdr:rowOff>
    </xdr:from>
    <xdr:to>
      <xdr:col>0</xdr:col>
      <xdr:colOff>1781175</xdr:colOff>
      <xdr:row>14</xdr:row>
      <xdr:rowOff>40345</xdr:rowOff>
    </xdr:to>
    <xdr:sp macro="" textlink="">
      <xdr:nvSpPr>
        <xdr:cNvPr id="12" name="Retângulo: Cantos Arredondados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DBC0E00-6D0A-430D-9A5B-842D5D30F6A2}"/>
            </a:ext>
          </a:extLst>
        </xdr:cNvPr>
        <xdr:cNvSpPr/>
      </xdr:nvSpPr>
      <xdr:spPr>
        <a:xfrm>
          <a:off x="104775" y="2600983"/>
          <a:ext cx="1676400" cy="35242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104775</xdr:colOff>
      <xdr:row>14</xdr:row>
      <xdr:rowOff>129719</xdr:rowOff>
    </xdr:from>
    <xdr:to>
      <xdr:col>0</xdr:col>
      <xdr:colOff>1781175</xdr:colOff>
      <xdr:row>16</xdr:row>
      <xdr:rowOff>69394</xdr:rowOff>
    </xdr:to>
    <xdr:sp macro="" textlink="">
      <xdr:nvSpPr>
        <xdr:cNvPr id="13" name="Retângulo: Cantos Arredondados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37C9EE8-30A3-43A9-9EEF-AC6987114469}"/>
            </a:ext>
          </a:extLst>
        </xdr:cNvPr>
        <xdr:cNvSpPr/>
      </xdr:nvSpPr>
      <xdr:spPr>
        <a:xfrm>
          <a:off x="104775" y="3042782"/>
          <a:ext cx="1676400" cy="35242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352778</xdr:colOff>
      <xdr:row>19</xdr:row>
      <xdr:rowOff>15875</xdr:rowOff>
    </xdr:from>
    <xdr:to>
      <xdr:col>0</xdr:col>
      <xdr:colOff>1615722</xdr:colOff>
      <xdr:row>20</xdr:row>
      <xdr:rowOff>134938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43E668C3-3D3C-C476-6D10-AEFC4E8664E2}"/>
            </a:ext>
          </a:extLst>
        </xdr:cNvPr>
        <xdr:cNvSpPr/>
      </xdr:nvSpPr>
      <xdr:spPr>
        <a:xfrm>
          <a:off x="352778" y="3979333"/>
          <a:ext cx="1262944" cy="30338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>
                  <a:lumMod val="75000"/>
                </a:schemeClr>
              </a:solidFill>
            </a:rPr>
            <a:t>SYSTEM</a:t>
          </a:r>
          <a:r>
            <a:rPr lang="pt-BR" sz="1100" baseline="0">
              <a:solidFill>
                <a:schemeClr val="bg1">
                  <a:lumMod val="75000"/>
                </a:schemeClr>
              </a:solidFill>
            </a:rPr>
            <a:t> BY DIO </a:t>
          </a:r>
          <a:r>
            <a:rPr lang="pt-BR" sz="1100" baseline="0"/>
            <a:t>💜</a:t>
          </a:r>
          <a:endParaRPr lang="pt-BR" sz="1100"/>
        </a:p>
      </xdr:txBody>
    </xdr:sp>
    <xdr:clientData/>
  </xdr:twoCellAnchor>
  <xdr:twoCellAnchor editAs="absolute">
    <xdr:from>
      <xdr:col>0</xdr:col>
      <xdr:colOff>204611</xdr:colOff>
      <xdr:row>19</xdr:row>
      <xdr:rowOff>5286</xdr:rowOff>
    </xdr:from>
    <xdr:to>
      <xdr:col>0</xdr:col>
      <xdr:colOff>1686277</xdr:colOff>
      <xdr:row>19</xdr:row>
      <xdr:rowOff>5286</xdr:rowOff>
    </xdr:to>
    <xdr:cxnSp macro="">
      <xdr:nvCxnSpPr>
        <xdr:cNvPr id="16" name="Conector reto 15">
          <a:extLst>
            <a:ext uri="{FF2B5EF4-FFF2-40B4-BE49-F238E27FC236}">
              <a16:creationId xmlns:a16="http://schemas.microsoft.com/office/drawing/2014/main" id="{E74D8215-F128-6FFB-472F-7CE0CA33B094}"/>
            </a:ext>
          </a:extLst>
        </xdr:cNvPr>
        <xdr:cNvCxnSpPr/>
      </xdr:nvCxnSpPr>
      <xdr:spPr>
        <a:xfrm>
          <a:off x="204611" y="3950224"/>
          <a:ext cx="1481666" cy="0"/>
        </a:xfrm>
        <a:prstGeom prst="line">
          <a:avLst/>
        </a:prstGeom>
        <a:ln w="6350">
          <a:solidFill>
            <a:srgbClr val="7030A0"/>
          </a:solidFill>
          <a:prstDash val="sysDash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736600</xdr:colOff>
      <xdr:row>21</xdr:row>
      <xdr:rowOff>96837</xdr:rowOff>
    </xdr:from>
    <xdr:to>
      <xdr:col>0</xdr:col>
      <xdr:colOff>1093847</xdr:colOff>
      <xdr:row>23</xdr:row>
      <xdr:rowOff>83400</xdr:rowOff>
    </xdr:to>
    <xdr:pic>
      <xdr:nvPicPr>
        <xdr:cNvPr id="20" name="icon_link" descr="Linkedin logo vector white - poicompare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7B406D5-2A5E-4181-871B-4C976DBD30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600" y="4445000"/>
          <a:ext cx="357247" cy="3548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2921000</xdr:colOff>
      <xdr:row>20</xdr:row>
      <xdr:rowOff>23813</xdr:rowOff>
    </xdr:from>
    <xdr:to>
      <xdr:col>4</xdr:col>
      <xdr:colOff>23812</xdr:colOff>
      <xdr:row>22</xdr:row>
      <xdr:rowOff>23813</xdr:rowOff>
    </xdr:to>
    <xdr:sp macro="" textlink="">
      <xdr:nvSpPr>
        <xdr:cNvPr id="21" name="Retângulo 2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0992E0B-302B-34C4-710B-BCAEBB05253E}"/>
            </a:ext>
          </a:extLst>
        </xdr:cNvPr>
        <xdr:cNvSpPr/>
      </xdr:nvSpPr>
      <xdr:spPr>
        <a:xfrm>
          <a:off x="5389563" y="4151313"/>
          <a:ext cx="2928937" cy="365125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Segoe UI Light" panose="020B0502040204020203" pitchFamily="34" charset="0"/>
              <a:cs typeface="Segoe UI Light" panose="020B0502040204020203" pitchFamily="34" charset="0"/>
            </a:rPr>
            <a:t>PRÓXIMO -&gt;</a:t>
          </a:r>
        </a:p>
      </xdr:txBody>
    </xdr:sp>
    <xdr:clientData/>
  </xdr:twoCellAnchor>
  <xdr:twoCellAnchor editAs="absolute">
    <xdr:from>
      <xdr:col>0</xdr:col>
      <xdr:colOff>104775</xdr:colOff>
      <xdr:row>16</xdr:row>
      <xdr:rowOff>158768</xdr:rowOff>
    </xdr:from>
    <xdr:to>
      <xdr:col>0</xdr:col>
      <xdr:colOff>1781175</xdr:colOff>
      <xdr:row>18</xdr:row>
      <xdr:rowOff>98443</xdr:rowOff>
    </xdr:to>
    <xdr:sp macro="" textlink="">
      <xdr:nvSpPr>
        <xdr:cNvPr id="22" name="Retângulo: Cantos Arredondados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7308CA3-4FE4-45F8-A79C-2C5C154F7699}"/>
            </a:ext>
          </a:extLst>
        </xdr:cNvPr>
        <xdr:cNvSpPr/>
      </xdr:nvSpPr>
      <xdr:spPr>
        <a:xfrm>
          <a:off x="104775" y="3484581"/>
          <a:ext cx="1676400" cy="35242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 Light" panose="020B0502040204020203" pitchFamily="34" charset="0"/>
              <a:cs typeface="Segoe UI Light" panose="020B0502040204020203" pitchFamily="34" charset="0"/>
            </a:rPr>
            <a:t>RESUMO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196850</xdr:colOff>
      <xdr:row>2</xdr:row>
      <xdr:rowOff>188913</xdr:rowOff>
    </xdr:from>
    <xdr:to>
      <xdr:col>0</xdr:col>
      <xdr:colOff>1670050</xdr:colOff>
      <xdr:row>9</xdr:row>
      <xdr:rowOff>180975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E666B62-16C7-43EC-A033-C6E7165998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850" y="558800"/>
          <a:ext cx="1473200" cy="147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25400</xdr:colOff>
      <xdr:row>0</xdr:row>
      <xdr:rowOff>76200</xdr:rowOff>
    </xdr:from>
    <xdr:to>
      <xdr:col>0</xdr:col>
      <xdr:colOff>1841500</xdr:colOff>
      <xdr:row>2</xdr:row>
      <xdr:rowOff>165100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05216C-41C5-47D0-BAB8-1C7F6557EDE3}"/>
            </a:ext>
          </a:extLst>
        </xdr:cNvPr>
        <xdr:cNvSpPr/>
      </xdr:nvSpPr>
      <xdr:spPr>
        <a:xfrm>
          <a:off x="25400" y="76200"/>
          <a:ext cx="1816100" cy="4572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>
                <a:gsLst>
                  <a:gs pos="36000">
                    <a:srgbClr val="7030A0">
                      <a:lumMod val="98000"/>
                    </a:srgb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LION</a:t>
          </a:r>
          <a:r>
            <a:rPr lang="pt-BR" sz="2000" b="1" baseline="0">
              <a:latin typeface="Arial Black" panose="020B0A04020102020204" pitchFamily="34" charset="0"/>
            </a:rPr>
            <a:t> </a:t>
          </a:r>
          <a:r>
            <a:rPr lang="pt-BR" sz="2000" b="1" baseline="0">
              <a:gradFill>
                <a:gsLst>
                  <a:gs pos="49000">
                    <a:srgbClr val="7030A0">
                      <a:lumMod val="91000"/>
                      <a:lumOff val="9000"/>
                    </a:srgb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APP</a:t>
          </a:r>
          <a:endParaRPr lang="pt-BR" sz="2000" b="1">
            <a:gradFill>
              <a:gsLst>
                <a:gs pos="49000">
                  <a:srgbClr val="7030A0">
                    <a:lumMod val="91000"/>
                    <a:lumOff val="9000"/>
                  </a:srgb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103984</xdr:colOff>
      <xdr:row>10</xdr:row>
      <xdr:rowOff>119246</xdr:rowOff>
    </xdr:from>
    <xdr:to>
      <xdr:col>0</xdr:col>
      <xdr:colOff>1780384</xdr:colOff>
      <xdr:row>12</xdr:row>
      <xdr:rowOff>58921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7AC75DD-A123-46FD-9405-3F96362244DB}"/>
            </a:ext>
          </a:extLst>
        </xdr:cNvPr>
        <xdr:cNvSpPr/>
      </xdr:nvSpPr>
      <xdr:spPr>
        <a:xfrm>
          <a:off x="103984" y="2159184"/>
          <a:ext cx="1676400" cy="35242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103984</xdr:colOff>
      <xdr:row>12</xdr:row>
      <xdr:rowOff>145650</xdr:rowOff>
    </xdr:from>
    <xdr:to>
      <xdr:col>0</xdr:col>
      <xdr:colOff>1780384</xdr:colOff>
      <xdr:row>14</xdr:row>
      <xdr:rowOff>132950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B8D6062-715B-4D76-9BF9-A9EF558DC7D6}"/>
            </a:ext>
          </a:extLst>
        </xdr:cNvPr>
        <xdr:cNvSpPr/>
      </xdr:nvSpPr>
      <xdr:spPr>
        <a:xfrm>
          <a:off x="103984" y="2598338"/>
          <a:ext cx="1676400" cy="352425"/>
        </a:xfrm>
        <a:prstGeom prst="roundRect">
          <a:avLst>
            <a:gd name="adj" fmla="val 50000"/>
          </a:avLst>
        </a:prstGeom>
        <a:gradFill flip="none" rotWithShape="1">
          <a:gsLst>
            <a:gs pos="66000">
              <a:srgbClr val="7030A0">
                <a:lumMod val="91000"/>
                <a:lumOff val="9000"/>
              </a:srgbClr>
            </a:gs>
            <a:gs pos="89000">
              <a:schemeClr val="accent1">
                <a:lumMod val="45000"/>
                <a:lumOff val="55000"/>
                <a:alpha val="66000"/>
              </a:schemeClr>
            </a:gs>
            <a:gs pos="12000">
              <a:schemeClr val="accent1">
                <a:lumMod val="45000"/>
                <a:lumOff val="55000"/>
              </a:schemeClr>
            </a:gs>
            <a:gs pos="22000">
              <a:schemeClr val="accent1">
                <a:lumMod val="30000"/>
                <a:lumOff val="70000"/>
                <a:alpha val="78000"/>
              </a:schemeClr>
            </a:gs>
          </a:gsLst>
          <a:lin ang="135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103984</xdr:colOff>
      <xdr:row>15</xdr:row>
      <xdr:rowOff>13304</xdr:rowOff>
    </xdr:from>
    <xdr:to>
      <xdr:col>0</xdr:col>
      <xdr:colOff>1780384</xdr:colOff>
      <xdr:row>16</xdr:row>
      <xdr:rowOff>159354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E42496-0E0E-47A6-863B-DAFE3A040001}"/>
            </a:ext>
          </a:extLst>
        </xdr:cNvPr>
        <xdr:cNvSpPr/>
      </xdr:nvSpPr>
      <xdr:spPr>
        <a:xfrm>
          <a:off x="103984" y="3037492"/>
          <a:ext cx="1676400" cy="35242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352778</xdr:colOff>
      <xdr:row>19</xdr:row>
      <xdr:rowOff>158750</xdr:rowOff>
    </xdr:from>
    <xdr:to>
      <xdr:col>0</xdr:col>
      <xdr:colOff>1615722</xdr:colOff>
      <xdr:row>21</xdr:row>
      <xdr:rowOff>47625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1F329EAD-00A0-4612-A955-969924FD82C3}"/>
            </a:ext>
          </a:extLst>
        </xdr:cNvPr>
        <xdr:cNvSpPr/>
      </xdr:nvSpPr>
      <xdr:spPr>
        <a:xfrm>
          <a:off x="352778" y="3994150"/>
          <a:ext cx="1262944" cy="304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>
                  <a:lumMod val="75000"/>
                </a:schemeClr>
              </a:solidFill>
            </a:rPr>
            <a:t>SYSTEM</a:t>
          </a:r>
          <a:r>
            <a:rPr lang="pt-BR" sz="1100" baseline="0">
              <a:solidFill>
                <a:schemeClr val="bg1">
                  <a:lumMod val="75000"/>
                </a:schemeClr>
              </a:solidFill>
            </a:rPr>
            <a:t> BY DIO </a:t>
          </a:r>
          <a:r>
            <a:rPr lang="pt-BR" sz="1100" baseline="0"/>
            <a:t>💜</a:t>
          </a:r>
          <a:endParaRPr lang="pt-BR" sz="1100"/>
        </a:p>
      </xdr:txBody>
    </xdr:sp>
    <xdr:clientData/>
  </xdr:twoCellAnchor>
  <xdr:twoCellAnchor editAs="absolute">
    <xdr:from>
      <xdr:col>0</xdr:col>
      <xdr:colOff>204611</xdr:colOff>
      <xdr:row>19</xdr:row>
      <xdr:rowOff>116418</xdr:rowOff>
    </xdr:from>
    <xdr:to>
      <xdr:col>0</xdr:col>
      <xdr:colOff>1686277</xdr:colOff>
      <xdr:row>19</xdr:row>
      <xdr:rowOff>116418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D5B553F9-7AB8-468D-8563-CAB1501D3709}"/>
            </a:ext>
          </a:extLst>
        </xdr:cNvPr>
        <xdr:cNvCxnSpPr/>
      </xdr:nvCxnSpPr>
      <xdr:spPr>
        <a:xfrm>
          <a:off x="204611" y="3951818"/>
          <a:ext cx="1481666" cy="0"/>
        </a:xfrm>
        <a:prstGeom prst="line">
          <a:avLst/>
        </a:prstGeom>
        <a:ln w="6350">
          <a:solidFill>
            <a:srgbClr val="7030A0"/>
          </a:solidFill>
          <a:prstDash val="sysDash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736600</xdr:colOff>
      <xdr:row>21</xdr:row>
      <xdr:rowOff>192087</xdr:rowOff>
    </xdr:from>
    <xdr:to>
      <xdr:col>0</xdr:col>
      <xdr:colOff>1093847</xdr:colOff>
      <xdr:row>23</xdr:row>
      <xdr:rowOff>154839</xdr:rowOff>
    </xdr:to>
    <xdr:pic>
      <xdr:nvPicPr>
        <xdr:cNvPr id="10" name="icon_link" descr="Linkedin logo vector white - poicompare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2750C20-1889-4E8C-9A3E-40F91879B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600" y="4445000"/>
          <a:ext cx="357247" cy="3548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0</xdr:colOff>
      <xdr:row>23</xdr:row>
      <xdr:rowOff>0</xdr:rowOff>
    </xdr:from>
    <xdr:to>
      <xdr:col>3</xdr:col>
      <xdr:colOff>2873375</xdr:colOff>
      <xdr:row>25</xdr:row>
      <xdr:rowOff>0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DD66CFB-DE78-45DC-B935-DAF7BBB5B6D2}"/>
            </a:ext>
          </a:extLst>
        </xdr:cNvPr>
        <xdr:cNvSpPr/>
      </xdr:nvSpPr>
      <xdr:spPr>
        <a:xfrm>
          <a:off x="5405438" y="4603750"/>
          <a:ext cx="2873375" cy="365125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Segoe UI Light" panose="020B0502040204020203" pitchFamily="34" charset="0"/>
              <a:cs typeface="Segoe UI Light" panose="020B0502040204020203" pitchFamily="34" charset="0"/>
            </a:rPr>
            <a:t>PRÓXIMO -&gt;</a:t>
          </a:r>
        </a:p>
      </xdr:txBody>
    </xdr:sp>
    <xdr:clientData/>
  </xdr:twoCellAnchor>
  <xdr:twoCellAnchor editAs="absolute">
    <xdr:from>
      <xdr:col>2</xdr:col>
      <xdr:colOff>25387</xdr:colOff>
      <xdr:row>23</xdr:row>
      <xdr:rowOff>0</xdr:rowOff>
    </xdr:from>
    <xdr:to>
      <xdr:col>2</xdr:col>
      <xdr:colOff>2898762</xdr:colOff>
      <xdr:row>25</xdr:row>
      <xdr:rowOff>0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F20ED85-E2CF-48DA-AFAA-CDE3943DFA3A}"/>
            </a:ext>
          </a:extLst>
        </xdr:cNvPr>
        <xdr:cNvSpPr/>
      </xdr:nvSpPr>
      <xdr:spPr>
        <a:xfrm>
          <a:off x="2493950" y="4603750"/>
          <a:ext cx="2873375" cy="365125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Segoe UI Light" panose="020B0502040204020203" pitchFamily="34" charset="0"/>
              <a:cs typeface="Segoe UI Light" panose="020B0502040204020203" pitchFamily="34" charset="0"/>
            </a:rPr>
            <a:t>&lt;- ANTERIOR</a:t>
          </a:r>
        </a:p>
      </xdr:txBody>
    </xdr:sp>
    <xdr:clientData/>
  </xdr:twoCellAnchor>
  <xdr:twoCellAnchor editAs="absolute">
    <xdr:from>
      <xdr:col>0</xdr:col>
      <xdr:colOff>103984</xdr:colOff>
      <xdr:row>17</xdr:row>
      <xdr:rowOff>39707</xdr:rowOff>
    </xdr:from>
    <xdr:to>
      <xdr:col>0</xdr:col>
      <xdr:colOff>1780384</xdr:colOff>
      <xdr:row>19</xdr:row>
      <xdr:rowOff>27007</xdr:rowOff>
    </xdr:to>
    <xdr:sp macro="" textlink="">
      <xdr:nvSpPr>
        <xdr:cNvPr id="13" name="Retângulo: Cantos Arredondados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57AD013-9E82-49B6-ACC1-BFDA89D45C6B}"/>
            </a:ext>
          </a:extLst>
        </xdr:cNvPr>
        <xdr:cNvSpPr/>
      </xdr:nvSpPr>
      <xdr:spPr>
        <a:xfrm>
          <a:off x="103984" y="3476645"/>
          <a:ext cx="1676400" cy="35242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 Light" panose="020B0502040204020203" pitchFamily="34" charset="0"/>
              <a:cs typeface="Segoe UI Light" panose="020B0502040204020203" pitchFamily="34" charset="0"/>
            </a:rPr>
            <a:t>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196850</xdr:colOff>
      <xdr:row>2</xdr:row>
      <xdr:rowOff>188913</xdr:rowOff>
    </xdr:from>
    <xdr:to>
      <xdr:col>0</xdr:col>
      <xdr:colOff>1670050</xdr:colOff>
      <xdr:row>9</xdr:row>
      <xdr:rowOff>180975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FB2EEEB-4521-4660-8D17-10E4FBD153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850" y="558800"/>
          <a:ext cx="1473200" cy="147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25400</xdr:colOff>
      <xdr:row>0</xdr:row>
      <xdr:rowOff>76200</xdr:rowOff>
    </xdr:from>
    <xdr:to>
      <xdr:col>0</xdr:col>
      <xdr:colOff>1841500</xdr:colOff>
      <xdr:row>2</xdr:row>
      <xdr:rowOff>165100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A7E6763-6467-4502-88CA-64F88FCDB26A}"/>
            </a:ext>
          </a:extLst>
        </xdr:cNvPr>
        <xdr:cNvSpPr/>
      </xdr:nvSpPr>
      <xdr:spPr>
        <a:xfrm>
          <a:off x="25400" y="76200"/>
          <a:ext cx="1816100" cy="4572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>
                <a:gsLst>
                  <a:gs pos="36000">
                    <a:srgbClr val="7030A0">
                      <a:lumMod val="98000"/>
                    </a:srgb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LION</a:t>
          </a:r>
          <a:r>
            <a:rPr lang="pt-BR" sz="2000" b="1" baseline="0">
              <a:latin typeface="Arial Black" panose="020B0A04020102020204" pitchFamily="34" charset="0"/>
            </a:rPr>
            <a:t> </a:t>
          </a:r>
          <a:r>
            <a:rPr lang="pt-BR" sz="2000" b="1" baseline="0">
              <a:gradFill>
                <a:gsLst>
                  <a:gs pos="49000">
                    <a:srgbClr val="7030A0">
                      <a:lumMod val="91000"/>
                      <a:lumOff val="9000"/>
                    </a:srgb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APP</a:t>
          </a:r>
          <a:endParaRPr lang="pt-BR" sz="2000" b="1">
            <a:gradFill>
              <a:gsLst>
                <a:gs pos="49000">
                  <a:srgbClr val="7030A0">
                    <a:lumMod val="91000"/>
                    <a:lumOff val="9000"/>
                  </a:srgb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52387</xdr:colOff>
      <xdr:row>10</xdr:row>
      <xdr:rowOff>143059</xdr:rowOff>
    </xdr:from>
    <xdr:to>
      <xdr:col>0</xdr:col>
      <xdr:colOff>1728787</xdr:colOff>
      <xdr:row>12</xdr:row>
      <xdr:rowOff>130359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27EA438-B990-4A05-AA7C-D52A09ADF32E}"/>
            </a:ext>
          </a:extLst>
        </xdr:cNvPr>
        <xdr:cNvSpPr/>
      </xdr:nvSpPr>
      <xdr:spPr>
        <a:xfrm>
          <a:off x="52387" y="2159184"/>
          <a:ext cx="1676400" cy="35242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52387</xdr:colOff>
      <xdr:row>13</xdr:row>
      <xdr:rowOff>45098</xdr:rowOff>
    </xdr:from>
    <xdr:to>
      <xdr:col>0</xdr:col>
      <xdr:colOff>1728787</xdr:colOff>
      <xdr:row>15</xdr:row>
      <xdr:rowOff>32398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1313D5B-B64E-482E-BC5F-0BCCA38427BE}"/>
            </a:ext>
          </a:extLst>
        </xdr:cNvPr>
        <xdr:cNvSpPr/>
      </xdr:nvSpPr>
      <xdr:spPr>
        <a:xfrm>
          <a:off x="52387" y="2608911"/>
          <a:ext cx="1676400" cy="35242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52387</xdr:colOff>
      <xdr:row>15</xdr:row>
      <xdr:rowOff>129700</xdr:rowOff>
    </xdr:from>
    <xdr:to>
      <xdr:col>0</xdr:col>
      <xdr:colOff>1728787</xdr:colOff>
      <xdr:row>17</xdr:row>
      <xdr:rowOff>117000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431F974-8BD4-41B5-BDE9-8998CAED276C}"/>
            </a:ext>
          </a:extLst>
        </xdr:cNvPr>
        <xdr:cNvSpPr/>
      </xdr:nvSpPr>
      <xdr:spPr>
        <a:xfrm>
          <a:off x="52387" y="3058638"/>
          <a:ext cx="1676400" cy="352425"/>
        </a:xfrm>
        <a:prstGeom prst="roundRect">
          <a:avLst>
            <a:gd name="adj" fmla="val 50000"/>
          </a:avLst>
        </a:prstGeom>
        <a:gradFill flip="none" rotWithShape="1">
          <a:gsLst>
            <a:gs pos="66000">
              <a:srgbClr val="7030A0">
                <a:lumMod val="91000"/>
                <a:lumOff val="9000"/>
              </a:srgbClr>
            </a:gs>
            <a:gs pos="89000">
              <a:schemeClr val="accent1">
                <a:lumMod val="45000"/>
                <a:lumOff val="55000"/>
                <a:alpha val="66000"/>
              </a:schemeClr>
            </a:gs>
            <a:gs pos="12000">
              <a:schemeClr val="accent1">
                <a:lumMod val="45000"/>
                <a:lumOff val="55000"/>
              </a:schemeClr>
            </a:gs>
            <a:gs pos="22000">
              <a:schemeClr val="accent1">
                <a:lumMod val="30000"/>
                <a:lumOff val="70000"/>
                <a:alpha val="78000"/>
              </a:schemeClr>
            </a:gs>
          </a:gsLst>
          <a:lin ang="135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352778</xdr:colOff>
      <xdr:row>20</xdr:row>
      <xdr:rowOff>119063</xdr:rowOff>
    </xdr:from>
    <xdr:to>
      <xdr:col>0</xdr:col>
      <xdr:colOff>1615722</xdr:colOff>
      <xdr:row>22</xdr:row>
      <xdr:rowOff>55563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828797EF-6DC4-4FAC-B1C0-F8A9E7711142}"/>
            </a:ext>
          </a:extLst>
        </xdr:cNvPr>
        <xdr:cNvSpPr/>
      </xdr:nvSpPr>
      <xdr:spPr>
        <a:xfrm>
          <a:off x="352778" y="3994150"/>
          <a:ext cx="1262944" cy="304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>
                  <a:lumMod val="75000"/>
                </a:schemeClr>
              </a:solidFill>
            </a:rPr>
            <a:t>SYSTEM</a:t>
          </a:r>
          <a:r>
            <a:rPr lang="pt-BR" sz="1100" baseline="0">
              <a:solidFill>
                <a:schemeClr val="bg1">
                  <a:lumMod val="75000"/>
                </a:schemeClr>
              </a:solidFill>
            </a:rPr>
            <a:t> BY DIO </a:t>
          </a:r>
          <a:r>
            <a:rPr lang="pt-BR" sz="1100" baseline="0"/>
            <a:t>💜</a:t>
          </a:r>
          <a:endParaRPr lang="pt-BR" sz="1100"/>
        </a:p>
      </xdr:txBody>
    </xdr:sp>
    <xdr:clientData/>
  </xdr:twoCellAnchor>
  <xdr:twoCellAnchor editAs="absolute">
    <xdr:from>
      <xdr:col>0</xdr:col>
      <xdr:colOff>204611</xdr:colOff>
      <xdr:row>20</xdr:row>
      <xdr:rowOff>76731</xdr:rowOff>
    </xdr:from>
    <xdr:to>
      <xdr:col>0</xdr:col>
      <xdr:colOff>1686277</xdr:colOff>
      <xdr:row>20</xdr:row>
      <xdr:rowOff>76731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7FB3FE6F-7CA8-4A9B-AF23-6FA64E2E9945}"/>
            </a:ext>
          </a:extLst>
        </xdr:cNvPr>
        <xdr:cNvCxnSpPr/>
      </xdr:nvCxnSpPr>
      <xdr:spPr>
        <a:xfrm>
          <a:off x="204611" y="3951818"/>
          <a:ext cx="1481666" cy="0"/>
        </a:xfrm>
        <a:prstGeom prst="line">
          <a:avLst/>
        </a:prstGeom>
        <a:ln w="6350">
          <a:solidFill>
            <a:srgbClr val="7030A0"/>
          </a:solidFill>
          <a:prstDash val="sysDash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736600</xdr:colOff>
      <xdr:row>23</xdr:row>
      <xdr:rowOff>17462</xdr:rowOff>
    </xdr:from>
    <xdr:to>
      <xdr:col>0</xdr:col>
      <xdr:colOff>1093847</xdr:colOff>
      <xdr:row>25</xdr:row>
      <xdr:rowOff>5613</xdr:rowOff>
    </xdr:to>
    <xdr:pic>
      <xdr:nvPicPr>
        <xdr:cNvPr id="9" name="icon_link" descr="Linkedin logo vector white - poicompare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620AAB-9ECD-CA8E-A792-E454CF2A71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600" y="4445000"/>
          <a:ext cx="357247" cy="3564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2587624</xdr:colOff>
      <xdr:row>5</xdr:row>
      <xdr:rowOff>23810</xdr:rowOff>
    </xdr:from>
    <xdr:to>
      <xdr:col>4</xdr:col>
      <xdr:colOff>920749</xdr:colOff>
      <xdr:row>6</xdr:row>
      <xdr:rowOff>79373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2411972-267B-46A5-AC83-A0E552203A88}"/>
            </a:ext>
          </a:extLst>
        </xdr:cNvPr>
        <xdr:cNvSpPr/>
      </xdr:nvSpPr>
      <xdr:spPr>
        <a:xfrm>
          <a:off x="8024812" y="1079498"/>
          <a:ext cx="1270000" cy="238125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Segoe UI Light" panose="020B0502040204020203" pitchFamily="34" charset="0"/>
              <a:cs typeface="Segoe UI Light" panose="020B0502040204020203" pitchFamily="34" charset="0"/>
            </a:rPr>
            <a:t>&lt;- ANTERIOR</a:t>
          </a:r>
        </a:p>
      </xdr:txBody>
    </xdr:sp>
    <xdr:clientData/>
  </xdr:twoCellAnchor>
  <xdr:twoCellAnchor editAs="absolute">
    <xdr:from>
      <xdr:col>0</xdr:col>
      <xdr:colOff>52387</xdr:colOff>
      <xdr:row>18</xdr:row>
      <xdr:rowOff>31741</xdr:rowOff>
    </xdr:from>
    <xdr:to>
      <xdr:col>0</xdr:col>
      <xdr:colOff>1728787</xdr:colOff>
      <xdr:row>20</xdr:row>
      <xdr:rowOff>19041</xdr:rowOff>
    </xdr:to>
    <xdr:sp macro="" textlink="">
      <xdr:nvSpPr>
        <xdr:cNvPr id="12" name="Retângulo: Cantos Arredondado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B7C3356-2301-406E-B8E5-2D6A465996CB}"/>
            </a:ext>
          </a:extLst>
        </xdr:cNvPr>
        <xdr:cNvSpPr/>
      </xdr:nvSpPr>
      <xdr:spPr>
        <a:xfrm>
          <a:off x="52387" y="3508366"/>
          <a:ext cx="1676400" cy="35242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 Light" panose="020B0502040204020203" pitchFamily="34" charset="0"/>
              <a:cs typeface="Segoe UI Light" panose="020B0502040204020203" pitchFamily="34" charset="0"/>
            </a:rPr>
            <a:t>RESUMO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196850</xdr:colOff>
      <xdr:row>2</xdr:row>
      <xdr:rowOff>188913</xdr:rowOff>
    </xdr:from>
    <xdr:to>
      <xdr:col>0</xdr:col>
      <xdr:colOff>1670050</xdr:colOff>
      <xdr:row>9</xdr:row>
      <xdr:rowOff>180975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F126F92-A1C4-4901-A4D8-FBBE6A93AF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850" y="557213"/>
          <a:ext cx="1473200" cy="14716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25400</xdr:colOff>
      <xdr:row>0</xdr:row>
      <xdr:rowOff>76200</xdr:rowOff>
    </xdr:from>
    <xdr:to>
      <xdr:col>0</xdr:col>
      <xdr:colOff>1841500</xdr:colOff>
      <xdr:row>2</xdr:row>
      <xdr:rowOff>165100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B4FB68C-895D-4773-855A-9673DF6DBF68}"/>
            </a:ext>
          </a:extLst>
        </xdr:cNvPr>
        <xdr:cNvSpPr/>
      </xdr:nvSpPr>
      <xdr:spPr>
        <a:xfrm>
          <a:off x="25400" y="76200"/>
          <a:ext cx="1816100" cy="4572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>
                <a:gsLst>
                  <a:gs pos="36000">
                    <a:srgbClr val="7030A0">
                      <a:lumMod val="98000"/>
                    </a:srgb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LION</a:t>
          </a:r>
          <a:r>
            <a:rPr lang="pt-BR" sz="2000" b="1" baseline="0">
              <a:latin typeface="Arial Black" panose="020B0A04020102020204" pitchFamily="34" charset="0"/>
            </a:rPr>
            <a:t> </a:t>
          </a:r>
          <a:r>
            <a:rPr lang="pt-BR" sz="2000" b="1" baseline="0">
              <a:gradFill>
                <a:gsLst>
                  <a:gs pos="49000">
                    <a:srgbClr val="7030A0">
                      <a:lumMod val="91000"/>
                      <a:lumOff val="9000"/>
                    </a:srgb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APP</a:t>
          </a:r>
          <a:endParaRPr lang="pt-BR" sz="2000" b="1">
            <a:gradFill>
              <a:gsLst>
                <a:gs pos="49000">
                  <a:srgbClr val="7030A0">
                    <a:lumMod val="91000"/>
                    <a:lumOff val="9000"/>
                  </a:srgb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104775</xdr:colOff>
      <xdr:row>10</xdr:row>
      <xdr:rowOff>119246</xdr:rowOff>
    </xdr:from>
    <xdr:to>
      <xdr:col>0</xdr:col>
      <xdr:colOff>1781175</xdr:colOff>
      <xdr:row>12</xdr:row>
      <xdr:rowOff>58921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6AAC34-FAAC-4D2C-9697-5A10932AFCC5}"/>
            </a:ext>
          </a:extLst>
        </xdr:cNvPr>
        <xdr:cNvSpPr/>
      </xdr:nvSpPr>
      <xdr:spPr>
        <a:xfrm>
          <a:off x="104775" y="2175059"/>
          <a:ext cx="1676400" cy="3556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104775</xdr:colOff>
      <xdr:row>12</xdr:row>
      <xdr:rowOff>175514</xdr:rowOff>
    </xdr:from>
    <xdr:to>
      <xdr:col>0</xdr:col>
      <xdr:colOff>1781175</xdr:colOff>
      <xdr:row>14</xdr:row>
      <xdr:rowOff>115189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CDCAF7-7EAC-406D-9EEE-0550CF123629}"/>
            </a:ext>
          </a:extLst>
        </xdr:cNvPr>
        <xdr:cNvSpPr/>
      </xdr:nvSpPr>
      <xdr:spPr>
        <a:xfrm>
          <a:off x="104775" y="2648839"/>
          <a:ext cx="1676400" cy="3556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352778</xdr:colOff>
      <xdr:row>19</xdr:row>
      <xdr:rowOff>63500</xdr:rowOff>
    </xdr:from>
    <xdr:to>
      <xdr:col>0</xdr:col>
      <xdr:colOff>1615722</xdr:colOff>
      <xdr:row>20</xdr:row>
      <xdr:rowOff>158750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655A693B-C944-4653-9F4E-2848E201D70C}"/>
            </a:ext>
          </a:extLst>
        </xdr:cNvPr>
        <xdr:cNvSpPr/>
      </xdr:nvSpPr>
      <xdr:spPr>
        <a:xfrm>
          <a:off x="352778" y="3992563"/>
          <a:ext cx="1262944" cy="304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>
                  <a:lumMod val="75000"/>
                </a:schemeClr>
              </a:solidFill>
            </a:rPr>
            <a:t>SYSTEM</a:t>
          </a:r>
          <a:r>
            <a:rPr lang="pt-BR" sz="1100" baseline="0">
              <a:solidFill>
                <a:schemeClr val="bg1">
                  <a:lumMod val="75000"/>
                </a:schemeClr>
              </a:solidFill>
            </a:rPr>
            <a:t> BY DIO </a:t>
          </a:r>
          <a:r>
            <a:rPr lang="pt-BR" sz="1100" baseline="0"/>
            <a:t>💜</a:t>
          </a:r>
          <a:endParaRPr lang="pt-BR" sz="1100"/>
        </a:p>
      </xdr:txBody>
    </xdr:sp>
    <xdr:clientData/>
  </xdr:twoCellAnchor>
  <xdr:twoCellAnchor editAs="absolute">
    <xdr:from>
      <xdr:col>0</xdr:col>
      <xdr:colOff>204611</xdr:colOff>
      <xdr:row>19</xdr:row>
      <xdr:rowOff>21168</xdr:rowOff>
    </xdr:from>
    <xdr:to>
      <xdr:col>0</xdr:col>
      <xdr:colOff>1686277</xdr:colOff>
      <xdr:row>19</xdr:row>
      <xdr:rowOff>21168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CD8FAFED-D1E7-4A34-A479-C7445EC63C33}"/>
            </a:ext>
          </a:extLst>
        </xdr:cNvPr>
        <xdr:cNvCxnSpPr/>
      </xdr:nvCxnSpPr>
      <xdr:spPr>
        <a:xfrm>
          <a:off x="204611" y="3950231"/>
          <a:ext cx="1481666" cy="0"/>
        </a:xfrm>
        <a:prstGeom prst="line">
          <a:avLst/>
        </a:prstGeom>
        <a:ln w="6350">
          <a:solidFill>
            <a:srgbClr val="7030A0"/>
          </a:solidFill>
          <a:prstDash val="sysDash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736600</xdr:colOff>
      <xdr:row>21</xdr:row>
      <xdr:rowOff>96837</xdr:rowOff>
    </xdr:from>
    <xdr:to>
      <xdr:col>0</xdr:col>
      <xdr:colOff>1093847</xdr:colOff>
      <xdr:row>23</xdr:row>
      <xdr:rowOff>37363</xdr:rowOff>
    </xdr:to>
    <xdr:pic>
      <xdr:nvPicPr>
        <xdr:cNvPr id="9" name="icon_link" descr="Linkedin logo vector white - poicompar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230394C-86D0-4585-B259-C047A6C9E6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600" y="4443412"/>
          <a:ext cx="357247" cy="3564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476250</xdr:colOff>
      <xdr:row>4</xdr:row>
      <xdr:rowOff>111126</xdr:rowOff>
    </xdr:from>
    <xdr:to>
      <xdr:col>4</xdr:col>
      <xdr:colOff>849312</xdr:colOff>
      <xdr:row>6</xdr:row>
      <xdr:rowOff>119063</xdr:rowOff>
    </xdr:to>
    <xdr:pic macro="[0]!ImprimirPlanilha">
      <xdr:nvPicPr>
        <xdr:cNvPr id="12" name="Gráfico 11" descr="Impressora com preenchimento sólido">
          <a:extLst>
            <a:ext uri="{FF2B5EF4-FFF2-40B4-BE49-F238E27FC236}">
              <a16:creationId xmlns:a16="http://schemas.microsoft.com/office/drawing/2014/main" id="{3EB1E6A3-C04B-17ED-3820-E669DF078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850313" y="984251"/>
          <a:ext cx="373062" cy="373062"/>
        </a:xfrm>
        <a:prstGeom prst="rect">
          <a:avLst/>
        </a:prstGeom>
      </xdr:spPr>
    </xdr:pic>
    <xdr:clientData/>
  </xdr:twoCellAnchor>
  <xdr:twoCellAnchor editAs="absolute">
    <xdr:from>
      <xdr:col>0</xdr:col>
      <xdr:colOff>104775</xdr:colOff>
      <xdr:row>17</xdr:row>
      <xdr:rowOff>17653</xdr:rowOff>
    </xdr:from>
    <xdr:to>
      <xdr:col>0</xdr:col>
      <xdr:colOff>1781175</xdr:colOff>
      <xdr:row>18</xdr:row>
      <xdr:rowOff>163703</xdr:rowOff>
    </xdr:to>
    <xdr:sp macro="" textlink="">
      <xdr:nvSpPr>
        <xdr:cNvPr id="14" name="Retângulo: Cantos Arredondados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F454EF-4FBB-4712-89FE-3F49C8A9CDC2}"/>
            </a:ext>
          </a:extLst>
        </xdr:cNvPr>
        <xdr:cNvSpPr/>
      </xdr:nvSpPr>
      <xdr:spPr>
        <a:xfrm>
          <a:off x="104775" y="3502216"/>
          <a:ext cx="1676400" cy="352425"/>
        </a:xfrm>
        <a:prstGeom prst="roundRect">
          <a:avLst>
            <a:gd name="adj" fmla="val 50000"/>
          </a:avLst>
        </a:prstGeom>
        <a:gradFill flip="none" rotWithShape="1">
          <a:gsLst>
            <a:gs pos="66000">
              <a:srgbClr val="7030A0">
                <a:lumMod val="91000"/>
                <a:lumOff val="9000"/>
              </a:srgbClr>
            </a:gs>
            <a:gs pos="89000">
              <a:schemeClr val="accent1">
                <a:lumMod val="45000"/>
                <a:lumOff val="55000"/>
                <a:alpha val="66000"/>
              </a:schemeClr>
            </a:gs>
            <a:gs pos="12000">
              <a:schemeClr val="accent1">
                <a:lumMod val="45000"/>
                <a:lumOff val="55000"/>
              </a:schemeClr>
            </a:gs>
            <a:gs pos="22000">
              <a:schemeClr val="accent1">
                <a:lumMod val="30000"/>
                <a:lumOff val="70000"/>
                <a:alpha val="78000"/>
              </a:schemeClr>
            </a:gs>
          </a:gsLst>
          <a:lin ang="135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 Light" panose="020B0502040204020203" pitchFamily="34" charset="0"/>
              <a:cs typeface="Segoe UI Light" panose="020B0502040204020203" pitchFamily="34" charset="0"/>
            </a:rPr>
            <a:t>RESUMO</a:t>
          </a:r>
        </a:p>
      </xdr:txBody>
    </xdr:sp>
    <xdr:clientData/>
  </xdr:twoCellAnchor>
  <xdr:twoCellAnchor editAs="absolute">
    <xdr:from>
      <xdr:col>0</xdr:col>
      <xdr:colOff>63487</xdr:colOff>
      <xdr:row>14</xdr:row>
      <xdr:rowOff>190491</xdr:rowOff>
    </xdr:from>
    <xdr:to>
      <xdr:col>0</xdr:col>
      <xdr:colOff>1739887</xdr:colOff>
      <xdr:row>16</xdr:row>
      <xdr:rowOff>130166</xdr:rowOff>
    </xdr:to>
    <xdr:sp macro="" textlink="">
      <xdr:nvSpPr>
        <xdr:cNvPr id="16" name="Retângulo: Cantos Arredondados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BF965B5-14C8-4340-9063-9384AEEDA0AF}"/>
            </a:ext>
          </a:extLst>
        </xdr:cNvPr>
        <xdr:cNvSpPr/>
      </xdr:nvSpPr>
      <xdr:spPr>
        <a:xfrm>
          <a:off x="63487" y="3055929"/>
          <a:ext cx="1676400" cy="35242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D4F2D2E-A942-4C6B-BC63-2BF97A385DDF}" name="Tabela2" displayName="Tabela2" ref="C9:E29" totalsRowShown="0" headerRowDxfId="4" dataDxfId="0">
  <autoFilter ref="C9:E29" xr:uid="{AD4F2D2E-A942-4C6B-BC63-2BF97A385DDF}"/>
  <tableColumns count="3">
    <tableColumn id="1" xr3:uid="{4A63546C-5137-42A2-B033-EBBB7EBAF41A}" name="DATA" dataDxfId="3"/>
    <tableColumn id="2" xr3:uid="{B44535DF-0076-40D0-B80A-21BC4BFFEA4B}" name="CATEGORIA " dataDxfId="2"/>
    <tableColumn id="3" xr3:uid="{C8DFFC21-A547-43BE-926F-9CB01E91B478}" name="VALOR" dataDxfId="1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XPTODASILVA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AC251-AF0E-4F78-86A7-726894803385}">
  <sheetPr codeName="Planilha1"/>
  <dimension ref="A3:F19"/>
  <sheetViews>
    <sheetView showGridLines="0" zoomScale="80" zoomScaleNormal="80" workbookViewId="0"/>
  </sheetViews>
  <sheetFormatPr defaultRowHeight="14.5" x14ac:dyDescent="0.35"/>
  <cols>
    <col min="1" max="1" width="26.6328125" style="1" customWidth="1"/>
    <col min="3" max="3" width="42.26953125" bestFit="1" customWidth="1"/>
    <col min="4" max="4" width="41.08984375" customWidth="1"/>
  </cols>
  <sheetData>
    <row r="3" spans="3:5" ht="23" thickBot="1" x14ac:dyDescent="0.65">
      <c r="C3" s="5" t="s">
        <v>14</v>
      </c>
      <c r="D3" s="4"/>
      <c r="E3" s="4"/>
    </row>
    <row r="4" spans="3:5" ht="17" thickTop="1" x14ac:dyDescent="0.35">
      <c r="C4" s="6" t="s">
        <v>15</v>
      </c>
      <c r="D4" s="6"/>
      <c r="E4" s="6"/>
    </row>
    <row r="6" spans="3:5" ht="16.5" x14ac:dyDescent="0.45">
      <c r="C6" s="3" t="s">
        <v>0</v>
      </c>
      <c r="D6" s="12" t="s">
        <v>17</v>
      </c>
    </row>
    <row r="7" spans="3:5" ht="16.5" x14ac:dyDescent="0.45">
      <c r="C7" s="3" t="s">
        <v>1</v>
      </c>
      <c r="D7" s="13">
        <v>11122233344</v>
      </c>
    </row>
    <row r="8" spans="3:5" ht="16.5" x14ac:dyDescent="0.45">
      <c r="C8" s="3" t="s">
        <v>2</v>
      </c>
      <c r="D8" s="14" t="s">
        <v>22</v>
      </c>
    </row>
    <row r="9" spans="3:5" ht="16.5" x14ac:dyDescent="0.45">
      <c r="C9" s="3" t="s">
        <v>3</v>
      </c>
      <c r="D9" s="12" t="s">
        <v>21</v>
      </c>
    </row>
    <row r="10" spans="3:5" ht="16.5" x14ac:dyDescent="0.45">
      <c r="C10" s="3" t="s">
        <v>4</v>
      </c>
      <c r="D10" s="12" t="s">
        <v>20</v>
      </c>
    </row>
    <row r="11" spans="3:5" ht="16.5" x14ac:dyDescent="0.45">
      <c r="C11" s="3" t="s">
        <v>5</v>
      </c>
      <c r="D11" s="12" t="s">
        <v>19</v>
      </c>
    </row>
    <row r="12" spans="3:5" ht="16.5" x14ac:dyDescent="0.45">
      <c r="C12" s="3" t="s">
        <v>6</v>
      </c>
      <c r="D12" s="12" t="s">
        <v>18</v>
      </c>
    </row>
    <row r="13" spans="3:5" ht="16.5" x14ac:dyDescent="0.45">
      <c r="C13" s="3" t="s">
        <v>7</v>
      </c>
      <c r="D13" s="15">
        <v>8078390</v>
      </c>
    </row>
    <row r="14" spans="3:5" ht="16.5" x14ac:dyDescent="0.45">
      <c r="C14" s="3" t="s">
        <v>8</v>
      </c>
      <c r="D14" s="16">
        <v>1120403687</v>
      </c>
    </row>
    <row r="15" spans="3:5" ht="16.5" x14ac:dyDescent="0.45">
      <c r="C15" s="3" t="s">
        <v>9</v>
      </c>
      <c r="D15" s="17">
        <v>11978523311</v>
      </c>
    </row>
    <row r="16" spans="3:5" ht="16.5" x14ac:dyDescent="0.45">
      <c r="C16" s="3" t="s">
        <v>10</v>
      </c>
      <c r="D16" s="18" t="s">
        <v>23</v>
      </c>
    </row>
    <row r="17" spans="3:6" ht="16.5" x14ac:dyDescent="0.45">
      <c r="C17" s="3" t="s">
        <v>11</v>
      </c>
      <c r="D17" s="12" t="s">
        <v>16</v>
      </c>
      <c r="F17" s="2"/>
    </row>
    <row r="18" spans="3:6" ht="16.5" x14ac:dyDescent="0.45">
      <c r="C18" s="3" t="s">
        <v>12</v>
      </c>
      <c r="D18" s="12" t="s">
        <v>16</v>
      </c>
    </row>
    <row r="19" spans="3:6" ht="16.5" x14ac:dyDescent="0.45">
      <c r="C19" s="3" t="s">
        <v>13</v>
      </c>
      <c r="D19" s="12" t="s">
        <v>16</v>
      </c>
    </row>
  </sheetData>
  <sheetProtection selectLockedCells="1"/>
  <mergeCells count="1">
    <mergeCell ref="C4:E4"/>
  </mergeCells>
  <dataValidations count="1">
    <dataValidation type="list" allowBlank="1" showInputMessage="1" showErrorMessage="1" sqref="D17:D19" xr:uid="{EFD118C3-225C-4D08-8453-2B74E84AA018}">
      <formula1>"SIM,NÃO"</formula1>
    </dataValidation>
  </dataValidations>
  <hyperlinks>
    <hyperlink ref="D16" r:id="rId1" xr:uid="{1CF15EEA-022F-4CD6-B2E5-EB05BAD123B8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AEB98-DC1C-4DDC-8C2C-B91AFB09D53B}">
  <sheetPr codeName="Planilha2"/>
  <dimension ref="A3:E22"/>
  <sheetViews>
    <sheetView showGridLines="0" showRowColHeaders="0" zoomScale="80" zoomScaleNormal="80" workbookViewId="0">
      <selection activeCell="C1" sqref="C1"/>
    </sheetView>
  </sheetViews>
  <sheetFormatPr defaultRowHeight="14.5" x14ac:dyDescent="0.35"/>
  <cols>
    <col min="1" max="1" width="26.6328125" style="1" customWidth="1"/>
    <col min="3" max="4" width="42" customWidth="1"/>
  </cols>
  <sheetData>
    <row r="3" spans="3:5" ht="23" thickBot="1" x14ac:dyDescent="0.65">
      <c r="C3" s="5" t="s">
        <v>24</v>
      </c>
      <c r="D3" s="4"/>
      <c r="E3" s="4"/>
    </row>
    <row r="4" spans="3:5" ht="17" thickTop="1" x14ac:dyDescent="0.35">
      <c r="C4" s="6" t="s">
        <v>25</v>
      </c>
      <c r="D4" s="6"/>
      <c r="E4" s="6"/>
    </row>
    <row r="6" spans="3:5" ht="16.5" x14ac:dyDescent="0.45">
      <c r="C6" s="2" t="s">
        <v>85</v>
      </c>
    </row>
    <row r="7" spans="3:5" ht="16" x14ac:dyDescent="0.4">
      <c r="C7" s="19">
        <f>SUM(D11,D16,D21)</f>
        <v>1815300</v>
      </c>
      <c r="D7" s="20"/>
    </row>
    <row r="9" spans="3:5" x14ac:dyDescent="0.35">
      <c r="C9" s="9" t="s">
        <v>81</v>
      </c>
    </row>
    <row r="10" spans="3:5" ht="16.5" x14ac:dyDescent="0.45">
      <c r="C10" s="3" t="s">
        <v>26</v>
      </c>
      <c r="D10" s="12" t="s">
        <v>33</v>
      </c>
    </row>
    <row r="11" spans="3:5" ht="16.5" x14ac:dyDescent="0.45">
      <c r="C11" s="3" t="s">
        <v>27</v>
      </c>
      <c r="D11" s="21">
        <v>500000</v>
      </c>
    </row>
    <row r="12" spans="3:5" ht="16.5" x14ac:dyDescent="0.45">
      <c r="C12" s="3" t="s">
        <v>28</v>
      </c>
      <c r="D12" s="12" t="s">
        <v>80</v>
      </c>
    </row>
    <row r="14" spans="3:5" x14ac:dyDescent="0.35">
      <c r="C14" s="9" t="s">
        <v>82</v>
      </c>
    </row>
    <row r="15" spans="3:5" ht="16.5" x14ac:dyDescent="0.45">
      <c r="C15" s="3" t="s">
        <v>26</v>
      </c>
      <c r="D15" s="12" t="s">
        <v>48</v>
      </c>
    </row>
    <row r="16" spans="3:5" ht="16.5" x14ac:dyDescent="0.45">
      <c r="C16" s="3" t="s">
        <v>27</v>
      </c>
      <c r="D16" s="21">
        <v>1300000</v>
      </c>
    </row>
    <row r="17" spans="3:4" ht="16.5" x14ac:dyDescent="0.45">
      <c r="C17" s="3" t="s">
        <v>28</v>
      </c>
      <c r="D17" s="12" t="s">
        <v>84</v>
      </c>
    </row>
    <row r="19" spans="3:4" x14ac:dyDescent="0.35">
      <c r="C19" s="9" t="s">
        <v>83</v>
      </c>
    </row>
    <row r="20" spans="3:4" ht="16.5" x14ac:dyDescent="0.45">
      <c r="C20" s="3" t="s">
        <v>26</v>
      </c>
      <c r="D20" s="12" t="s">
        <v>48</v>
      </c>
    </row>
    <row r="21" spans="3:4" ht="16.5" x14ac:dyDescent="0.45">
      <c r="C21" s="3" t="s">
        <v>27</v>
      </c>
      <c r="D21" s="21">
        <v>15300</v>
      </c>
    </row>
    <row r="22" spans="3:4" ht="16.5" x14ac:dyDescent="0.45">
      <c r="C22" s="3" t="s">
        <v>28</v>
      </c>
      <c r="D22" s="12" t="s">
        <v>84</v>
      </c>
    </row>
  </sheetData>
  <sheetProtection selectLockedCells="1"/>
  <mergeCells count="2">
    <mergeCell ref="C4:E4"/>
    <mergeCell ref="C7:D7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" error="INFORME UM BANCO DA LISTA" promptTitle="INFORME UM BANCO" prompt="NFORME UM BANCO VINCULADO AO SEU CPF" xr:uid="{309B4029-F046-49EC-94A5-66DB9E616069}">
          <x14:formula1>
            <xm:f>TABELAS!$A$2:$A$51</xm:f>
          </x14:formula1>
          <xm:sqref>D10 D15 D20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0AEF-7488-499E-B67B-15E7A5902771}">
  <sheetPr codeName="Planilha3"/>
  <dimension ref="A3:E29"/>
  <sheetViews>
    <sheetView showGridLines="0" tabSelected="1" zoomScale="80" zoomScaleNormal="80" workbookViewId="0"/>
  </sheetViews>
  <sheetFormatPr defaultRowHeight="14.5" x14ac:dyDescent="0.35"/>
  <cols>
    <col min="1" max="1" width="26.6328125" style="1" customWidth="1"/>
    <col min="3" max="3" width="42.453125" customWidth="1"/>
    <col min="4" max="4" width="42" customWidth="1"/>
    <col min="5" max="5" width="13.36328125" bestFit="1" customWidth="1"/>
  </cols>
  <sheetData>
    <row r="3" spans="3:5" ht="23" thickBot="1" x14ac:dyDescent="0.65">
      <c r="C3" s="5" t="s">
        <v>86</v>
      </c>
      <c r="D3" s="4"/>
      <c r="E3" s="4"/>
    </row>
    <row r="4" spans="3:5" ht="17" thickTop="1" x14ac:dyDescent="0.35">
      <c r="C4" s="6" t="s">
        <v>87</v>
      </c>
      <c r="D4" s="6"/>
      <c r="E4" s="6"/>
    </row>
    <row r="8" spans="3:5" ht="16.5" x14ac:dyDescent="0.45">
      <c r="C8" s="11" t="s">
        <v>91</v>
      </c>
      <c r="D8" s="11"/>
      <c r="E8" s="11"/>
    </row>
    <row r="9" spans="3:5" ht="16.5" x14ac:dyDescent="0.35">
      <c r="C9" s="10" t="s">
        <v>88</v>
      </c>
      <c r="D9" s="10" t="s">
        <v>89</v>
      </c>
      <c r="E9" s="10" t="s">
        <v>90</v>
      </c>
    </row>
    <row r="10" spans="3:5" x14ac:dyDescent="0.35">
      <c r="C10" s="22">
        <v>45826</v>
      </c>
      <c r="D10" s="23" t="s">
        <v>92</v>
      </c>
      <c r="E10" s="24">
        <v>3000</v>
      </c>
    </row>
    <row r="11" spans="3:5" x14ac:dyDescent="0.35">
      <c r="C11" s="22">
        <v>45779</v>
      </c>
      <c r="D11" s="23" t="s">
        <v>92</v>
      </c>
      <c r="E11" s="24">
        <v>3000</v>
      </c>
    </row>
    <row r="12" spans="3:5" x14ac:dyDescent="0.35">
      <c r="C12" s="22">
        <v>45749</v>
      </c>
      <c r="D12" s="23" t="s">
        <v>92</v>
      </c>
      <c r="E12" s="24">
        <v>3000</v>
      </c>
    </row>
    <row r="13" spans="3:5" x14ac:dyDescent="0.35">
      <c r="C13" s="22">
        <v>45718</v>
      </c>
      <c r="D13" s="23" t="s">
        <v>92</v>
      </c>
      <c r="E13" s="24">
        <v>3000</v>
      </c>
    </row>
    <row r="14" spans="3:5" x14ac:dyDescent="0.35">
      <c r="C14" s="22">
        <v>45690</v>
      </c>
      <c r="D14" s="23" t="s">
        <v>92</v>
      </c>
      <c r="E14" s="24">
        <v>3000</v>
      </c>
    </row>
    <row r="15" spans="3:5" x14ac:dyDescent="0.35">
      <c r="C15" s="22">
        <v>45659</v>
      </c>
      <c r="D15" s="23" t="s">
        <v>92</v>
      </c>
      <c r="E15" s="24">
        <v>3000</v>
      </c>
    </row>
    <row r="16" spans="3:5" x14ac:dyDescent="0.35">
      <c r="C16" s="22">
        <v>45718</v>
      </c>
      <c r="D16" s="23" t="s">
        <v>99</v>
      </c>
      <c r="E16" s="24">
        <v>350</v>
      </c>
    </row>
    <row r="17" spans="3:5" x14ac:dyDescent="0.35">
      <c r="C17" s="22">
        <v>45659</v>
      </c>
      <c r="D17" s="23" t="s">
        <v>99</v>
      </c>
      <c r="E17" s="24">
        <v>350</v>
      </c>
    </row>
    <row r="18" spans="3:5" x14ac:dyDescent="0.35">
      <c r="C18" s="22">
        <v>45779</v>
      </c>
      <c r="D18" s="23" t="s">
        <v>97</v>
      </c>
      <c r="E18" s="24">
        <v>1500</v>
      </c>
    </row>
    <row r="19" spans="3:5" x14ac:dyDescent="0.35">
      <c r="C19" s="22"/>
      <c r="D19" s="23"/>
      <c r="E19" s="24"/>
    </row>
    <row r="20" spans="3:5" x14ac:dyDescent="0.35">
      <c r="C20" s="22"/>
      <c r="D20" s="23"/>
      <c r="E20" s="24"/>
    </row>
    <row r="21" spans="3:5" x14ac:dyDescent="0.35">
      <c r="C21" s="22"/>
      <c r="D21" s="23"/>
      <c r="E21" s="24"/>
    </row>
    <row r="22" spans="3:5" x14ac:dyDescent="0.35">
      <c r="C22" s="22"/>
      <c r="D22" s="23"/>
      <c r="E22" s="24"/>
    </row>
    <row r="23" spans="3:5" x14ac:dyDescent="0.35">
      <c r="C23" s="22"/>
      <c r="D23" s="23"/>
      <c r="E23" s="24"/>
    </row>
    <row r="24" spans="3:5" x14ac:dyDescent="0.35">
      <c r="C24" s="22"/>
      <c r="D24" s="23"/>
      <c r="E24" s="24"/>
    </row>
    <row r="25" spans="3:5" x14ac:dyDescent="0.35">
      <c r="C25" s="22"/>
      <c r="D25" s="23"/>
      <c r="E25" s="24"/>
    </row>
    <row r="26" spans="3:5" x14ac:dyDescent="0.35">
      <c r="C26" s="22"/>
      <c r="D26" s="23"/>
      <c r="E26" s="24"/>
    </row>
    <row r="27" spans="3:5" x14ac:dyDescent="0.35">
      <c r="C27" s="22"/>
      <c r="D27" s="23"/>
      <c r="E27" s="24"/>
    </row>
    <row r="28" spans="3:5" x14ac:dyDescent="0.35">
      <c r="C28" s="22"/>
      <c r="D28" s="23"/>
      <c r="E28" s="24"/>
    </row>
    <row r="29" spans="3:5" x14ac:dyDescent="0.35">
      <c r="C29" s="22"/>
      <c r="D29" s="23"/>
      <c r="E29" s="24"/>
    </row>
  </sheetData>
  <sheetProtection selectLockedCells="1"/>
  <mergeCells count="2">
    <mergeCell ref="C4:E4"/>
    <mergeCell ref="C8:E8"/>
  </mergeCells>
  <dataValidations count="1">
    <dataValidation type="list" allowBlank="1" showInputMessage="1" showErrorMessage="1" sqref="D10:D29" xr:uid="{AEE9359D-B608-42D9-8DCE-7C0DEC9582E3}">
      <formula1>"HOLERITE,CNPJ,FREELANCE"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601E9-FA73-4D3F-9F6D-66ABD744C8F8}">
  <sheetPr codeName="Planilha4"/>
  <dimension ref="A3:E66"/>
  <sheetViews>
    <sheetView showGridLines="0" showRowColHeaders="0" zoomScale="80" zoomScaleNormal="80" workbookViewId="0">
      <selection activeCell="C65" sqref="C65"/>
    </sheetView>
  </sheetViews>
  <sheetFormatPr defaultRowHeight="14.5" x14ac:dyDescent="0.35"/>
  <cols>
    <col min="1" max="1" width="26.6328125" style="1" customWidth="1"/>
    <col min="3" max="3" width="42.453125" customWidth="1"/>
    <col min="4" max="4" width="42" customWidth="1"/>
    <col min="5" max="5" width="13.36328125" bestFit="1" customWidth="1"/>
  </cols>
  <sheetData>
    <row r="3" spans="3:5" ht="23" thickBot="1" x14ac:dyDescent="0.65">
      <c r="C3" s="5" t="s">
        <v>93</v>
      </c>
      <c r="D3" s="4"/>
      <c r="E3" s="4"/>
    </row>
    <row r="4" spans="3:5" ht="17" thickTop="1" x14ac:dyDescent="0.35">
      <c r="C4" s="6" t="s">
        <v>95</v>
      </c>
      <c r="D4" s="6"/>
      <c r="E4" s="6"/>
    </row>
    <row r="8" spans="3:5" ht="16.5" x14ac:dyDescent="0.45">
      <c r="C8" s="11" t="s">
        <v>94</v>
      </c>
      <c r="D8" s="11"/>
      <c r="E8" s="11"/>
    </row>
    <row r="9" spans="3:5" ht="16.5" x14ac:dyDescent="0.35">
      <c r="C9" s="10"/>
      <c r="D9" s="10"/>
      <c r="E9" s="10"/>
    </row>
    <row r="10" spans="3:5" ht="16.5" x14ac:dyDescent="0.45">
      <c r="C10" s="31" t="s">
        <v>0</v>
      </c>
      <c r="D10" s="32" t="str">
        <f>VLOOKUP(C10,TÍTULAR!C:E,2,FALSE)</f>
        <v>XPTO DA SILVA</v>
      </c>
      <c r="E10" s="24"/>
    </row>
    <row r="11" spans="3:5" ht="16.5" x14ac:dyDescent="0.45">
      <c r="C11" s="31" t="s">
        <v>1</v>
      </c>
      <c r="D11" s="33">
        <f>VLOOKUP(C11,TÍTULAR!C:E,2,FALSE)</f>
        <v>11122233344</v>
      </c>
      <c r="E11" s="24"/>
    </row>
    <row r="12" spans="3:5" ht="16.5" x14ac:dyDescent="0.45">
      <c r="C12" s="31" t="s">
        <v>2</v>
      </c>
      <c r="D12" s="32" t="str">
        <f>VLOOKUP(C12,TÍTULAR!C:E,2,FALSE)</f>
        <v>31/02/1980</v>
      </c>
      <c r="E12" s="24"/>
    </row>
    <row r="13" spans="3:5" ht="16.5" x14ac:dyDescent="0.45">
      <c r="C13" s="31" t="s">
        <v>3</v>
      </c>
      <c r="D13" s="32" t="str">
        <f>VLOOKUP(C13,TÍTULAR!C:E,2,FALSE)</f>
        <v>7777DDDD777</v>
      </c>
      <c r="E13" s="24"/>
    </row>
    <row r="14" spans="3:5" ht="16.5" x14ac:dyDescent="0.45">
      <c r="C14" s="31" t="s">
        <v>4</v>
      </c>
      <c r="D14" s="32" t="str">
        <f>VLOOKUP(C14,TÍTULAR!C:E,2,FALSE)</f>
        <v>MARA DA PENHA</v>
      </c>
      <c r="E14" s="24"/>
    </row>
    <row r="15" spans="3:5" ht="16.5" x14ac:dyDescent="0.45">
      <c r="C15" s="31" t="s">
        <v>5</v>
      </c>
      <c r="D15" s="32" t="str">
        <f>VLOOKUP(C15,TÍTULAR!C:E,2,FALSE)</f>
        <v>RUA DAS ACACIAS, NÚMERO 12</v>
      </c>
      <c r="E15" s="24"/>
    </row>
    <row r="16" spans="3:5" ht="16.5" x14ac:dyDescent="0.45">
      <c r="C16" s="31" t="s">
        <v>6</v>
      </c>
      <c r="D16" s="32" t="str">
        <f>VLOOKUP(C16,TÍTULAR!C:E,2,FALSE)</f>
        <v>R.ACACIAS, Nº12</v>
      </c>
      <c r="E16" s="24"/>
    </row>
    <row r="17" spans="3:5" ht="16.5" x14ac:dyDescent="0.45">
      <c r="C17" s="31" t="s">
        <v>7</v>
      </c>
      <c r="D17" s="34">
        <f>VLOOKUP(C17,TÍTULAR!C:E,2,FALSE)</f>
        <v>8078390</v>
      </c>
      <c r="E17" s="24"/>
    </row>
    <row r="18" spans="3:5" ht="16.5" x14ac:dyDescent="0.45">
      <c r="C18" s="31" t="s">
        <v>8</v>
      </c>
      <c r="D18" s="35">
        <f>VLOOKUP(C18,TÍTULAR!C:E,2,FALSE)</f>
        <v>1120403687</v>
      </c>
      <c r="E18" s="24"/>
    </row>
    <row r="19" spans="3:5" ht="16.5" x14ac:dyDescent="0.45">
      <c r="C19" s="31" t="s">
        <v>9</v>
      </c>
      <c r="D19" s="36">
        <f>VLOOKUP(C19,TÍTULAR!C:E,2,FALSE)</f>
        <v>11978523311</v>
      </c>
      <c r="E19" s="24"/>
    </row>
    <row r="20" spans="3:5" ht="16.5" x14ac:dyDescent="0.45">
      <c r="C20" s="31" t="s">
        <v>10</v>
      </c>
      <c r="D20" s="32" t="str">
        <f>VLOOKUP(C20,TÍTULAR!C:E,2,FALSE)</f>
        <v>XPTODASILVA@GMAIL.COM</v>
      </c>
      <c r="E20" s="24"/>
    </row>
    <row r="21" spans="3:5" ht="16.5" x14ac:dyDescent="0.45">
      <c r="C21" s="31" t="s">
        <v>11</v>
      </c>
      <c r="D21" s="32" t="str">
        <f>VLOOKUP(C21,TÍTULAR!C:E,2,FALSE)</f>
        <v>NÃO</v>
      </c>
      <c r="E21" s="24"/>
    </row>
    <row r="22" spans="3:5" ht="16.5" x14ac:dyDescent="0.45">
      <c r="C22" s="31" t="s">
        <v>12</v>
      </c>
      <c r="D22" s="32" t="str">
        <f>VLOOKUP(C22,TÍTULAR!C:E,2,FALSE)</f>
        <v>NÃO</v>
      </c>
      <c r="E22" s="24"/>
    </row>
    <row r="23" spans="3:5" ht="16.5" x14ac:dyDescent="0.45">
      <c r="C23" s="31" t="s">
        <v>13</v>
      </c>
      <c r="D23" s="32" t="str">
        <f>VLOOKUP(C23,TÍTULAR!C:E,2,FALSE)</f>
        <v>NÃO</v>
      </c>
      <c r="E23" s="24"/>
    </row>
    <row r="24" spans="3:5" x14ac:dyDescent="0.35">
      <c r="C24" s="25"/>
      <c r="D24" s="23"/>
      <c r="E24" s="24"/>
    </row>
    <row r="25" spans="3:5" ht="16.5" x14ac:dyDescent="0.45">
      <c r="C25" s="11" t="s">
        <v>96</v>
      </c>
      <c r="D25" s="11"/>
      <c r="E25" s="11"/>
    </row>
    <row r="26" spans="3:5" x14ac:dyDescent="0.35">
      <c r="C26" s="25"/>
      <c r="D26" s="23"/>
      <c r="E26" s="24"/>
    </row>
    <row r="27" spans="3:5" ht="16.5" x14ac:dyDescent="0.45">
      <c r="C27" s="2" t="s">
        <v>85</v>
      </c>
      <c r="E27" s="24"/>
    </row>
    <row r="28" spans="3:5" ht="16" x14ac:dyDescent="0.4">
      <c r="C28" s="38">
        <f>SUM(D32,D37,D42)</f>
        <v>1815300</v>
      </c>
      <c r="D28" s="39"/>
      <c r="E28" s="24"/>
    </row>
    <row r="29" spans="3:5" x14ac:dyDescent="0.35">
      <c r="E29" s="24"/>
    </row>
    <row r="30" spans="3:5" x14ac:dyDescent="0.35">
      <c r="C30" s="9" t="s">
        <v>81</v>
      </c>
    </row>
    <row r="31" spans="3:5" ht="16.5" x14ac:dyDescent="0.45">
      <c r="C31" s="27" t="s">
        <v>26</v>
      </c>
      <c r="D31" s="32" t="str">
        <f>VLOOKUP($C$31,INFORMES!$C$10:$D$10,2,FALSE)</f>
        <v>119 - Banco Western Union do Brasil</v>
      </c>
    </row>
    <row r="32" spans="3:5" ht="16.5" x14ac:dyDescent="0.45">
      <c r="C32" s="27" t="s">
        <v>27</v>
      </c>
      <c r="D32" s="37">
        <f>VLOOKUP($C$32,INFORMES!$C$11:$D$11,2,FALSE)</f>
        <v>500000</v>
      </c>
    </row>
    <row r="33" spans="3:5" ht="16.5" x14ac:dyDescent="0.45">
      <c r="C33" s="27" t="s">
        <v>28</v>
      </c>
      <c r="D33" s="32" t="str">
        <f>VLOOKUP($C$33,INFORMES!$C$12:$D$12,2,FALSE)</f>
        <v>WUB2025.PDF</v>
      </c>
    </row>
    <row r="35" spans="3:5" x14ac:dyDescent="0.35">
      <c r="C35" s="9" t="s">
        <v>82</v>
      </c>
    </row>
    <row r="36" spans="3:5" ht="16.5" x14ac:dyDescent="0.45">
      <c r="C36" s="27" t="s">
        <v>26</v>
      </c>
      <c r="D36" s="32" t="str">
        <f>VLOOKUP($C$36,INFORMES!$C$15:$D$15,2,FALSE)</f>
        <v>33 - Banco Santander</v>
      </c>
    </row>
    <row r="37" spans="3:5" ht="16.5" x14ac:dyDescent="0.45">
      <c r="C37" s="27" t="s">
        <v>27</v>
      </c>
      <c r="D37" s="37">
        <f>VLOOKUP($C$37,INFORMES!$C$16:$D$16,2,FALSE)</f>
        <v>1300000</v>
      </c>
    </row>
    <row r="38" spans="3:5" ht="16.5" x14ac:dyDescent="0.45">
      <c r="C38" s="27" t="s">
        <v>28</v>
      </c>
      <c r="D38" s="32" t="str">
        <f>VLOOKUP($C$38,INFORMES!$C$17:$D$17,2,FALSE)</f>
        <v>sant2025.PDF</v>
      </c>
    </row>
    <row r="40" spans="3:5" x14ac:dyDescent="0.35">
      <c r="C40" s="9" t="s">
        <v>83</v>
      </c>
    </row>
    <row r="41" spans="3:5" ht="16.5" x14ac:dyDescent="0.45">
      <c r="C41" s="27" t="s">
        <v>26</v>
      </c>
      <c r="D41" s="32" t="str">
        <f>VLOOKUP($C$41,INFORMES!$C$20:$D$20,2,FALSE)</f>
        <v>33 - Banco Santander</v>
      </c>
    </row>
    <row r="42" spans="3:5" ht="16.5" x14ac:dyDescent="0.45">
      <c r="C42" s="27" t="s">
        <v>27</v>
      </c>
      <c r="D42" s="37">
        <f>VLOOKUP($C$42,INFORMES!$C$21:$D$21,2,FALSE)</f>
        <v>15300</v>
      </c>
    </row>
    <row r="43" spans="3:5" ht="16.5" x14ac:dyDescent="0.45">
      <c r="C43" s="27" t="s">
        <v>28</v>
      </c>
      <c r="D43" s="32" t="str">
        <f>VLOOKUP($C$43,INFORMES!$C$22:$D$22,2,FALSE)</f>
        <v>sant2025.PDF</v>
      </c>
    </row>
    <row r="45" spans="3:5" ht="16.5" x14ac:dyDescent="0.45">
      <c r="C45" s="11" t="s">
        <v>98</v>
      </c>
      <c r="D45" s="11"/>
      <c r="E45" s="11"/>
    </row>
    <row r="46" spans="3:5" ht="16.5" x14ac:dyDescent="0.35">
      <c r="C46" s="28" t="s">
        <v>88</v>
      </c>
      <c r="D46" s="29" t="s">
        <v>89</v>
      </c>
      <c r="E46" s="30" t="s">
        <v>90</v>
      </c>
    </row>
    <row r="47" spans="3:5" x14ac:dyDescent="0.35">
      <c r="C47" s="40">
        <f>IFERROR(VLOOKUP(NOTAS!C10,NOTAS!C10,1,FALSE),"")</f>
        <v>45826</v>
      </c>
      <c r="D47" s="41" t="str">
        <f>IFERROR(VLOOKUP(NOTAS!D10,NOTAS!D10,1,FALSE),"")</f>
        <v>HOLERITE</v>
      </c>
      <c r="E47" s="42">
        <f>IFERROR(VLOOKUP(NOTAS!E10,NOTAS!E10,1,FALSE),"")</f>
        <v>3000</v>
      </c>
    </row>
    <row r="48" spans="3:5" x14ac:dyDescent="0.35">
      <c r="C48" s="40">
        <f>IFERROR(VLOOKUP(NOTAS!C11,NOTAS!C11,1,FALSE),"")</f>
        <v>45779</v>
      </c>
      <c r="D48" s="41" t="str">
        <f>IFERROR(VLOOKUP(NOTAS!D11,NOTAS!D11,1,FALSE),"")</f>
        <v>HOLERITE</v>
      </c>
      <c r="E48" s="42">
        <f>IFERROR(VLOOKUP(NOTAS!E11,NOTAS!E11,1,FALSE),"")</f>
        <v>3000</v>
      </c>
    </row>
    <row r="49" spans="3:5" x14ac:dyDescent="0.35">
      <c r="C49" s="40">
        <f>IFERROR(VLOOKUP(NOTAS!C12,NOTAS!C12,1,FALSE),"")</f>
        <v>45749</v>
      </c>
      <c r="D49" s="41" t="str">
        <f>IFERROR(VLOOKUP(NOTAS!D12,NOTAS!D12,1,FALSE),"")</f>
        <v>HOLERITE</v>
      </c>
      <c r="E49" s="42">
        <f>IFERROR(VLOOKUP(NOTAS!E12,NOTAS!E12,1,FALSE),"")</f>
        <v>3000</v>
      </c>
    </row>
    <row r="50" spans="3:5" x14ac:dyDescent="0.35">
      <c r="C50" s="40">
        <f>IFERROR(VLOOKUP(NOTAS!C13,NOTAS!C13,1,FALSE),"")</f>
        <v>45718</v>
      </c>
      <c r="D50" s="41" t="str">
        <f>IFERROR(VLOOKUP(NOTAS!D13,NOTAS!D13,1,FALSE),"")</f>
        <v>HOLERITE</v>
      </c>
      <c r="E50" s="42">
        <f>IFERROR(VLOOKUP(NOTAS!E13,NOTAS!E13,1,FALSE),"")</f>
        <v>3000</v>
      </c>
    </row>
    <row r="51" spans="3:5" x14ac:dyDescent="0.35">
      <c r="C51" s="40">
        <f>IFERROR(VLOOKUP(NOTAS!C14,NOTAS!C14,1,FALSE),"")</f>
        <v>45690</v>
      </c>
      <c r="D51" s="41" t="str">
        <f>IFERROR(VLOOKUP(NOTAS!D14,NOTAS!D14,1,FALSE),"")</f>
        <v>HOLERITE</v>
      </c>
      <c r="E51" s="42">
        <f>IFERROR(VLOOKUP(NOTAS!E14,NOTAS!E14,1,FALSE),"")</f>
        <v>3000</v>
      </c>
    </row>
    <row r="52" spans="3:5" x14ac:dyDescent="0.35">
      <c r="C52" s="40">
        <f>IFERROR(VLOOKUP(NOTAS!C15,NOTAS!C15,1,FALSE),"")</f>
        <v>45659</v>
      </c>
      <c r="D52" s="41" t="str">
        <f>IFERROR(VLOOKUP(NOTAS!D15,NOTAS!D15,1,FALSE),"")</f>
        <v>HOLERITE</v>
      </c>
      <c r="E52" s="42">
        <f>IFERROR(VLOOKUP(NOTAS!E15,NOTAS!E15,1,FALSE),"")</f>
        <v>3000</v>
      </c>
    </row>
    <row r="53" spans="3:5" x14ac:dyDescent="0.35">
      <c r="C53" s="40">
        <f>IFERROR(VLOOKUP(NOTAS!C16,NOTAS!C16,1,FALSE),"")</f>
        <v>45718</v>
      </c>
      <c r="D53" s="41" t="str">
        <f>IFERROR(VLOOKUP(NOTAS!D16,NOTAS!D16,1,FALSE),"")</f>
        <v>FREELANCE</v>
      </c>
      <c r="E53" s="42">
        <f>IFERROR(VLOOKUP(NOTAS!E16,NOTAS!E16,1,FALSE),"")</f>
        <v>350</v>
      </c>
    </row>
    <row r="54" spans="3:5" x14ac:dyDescent="0.35">
      <c r="C54" s="40">
        <f>IFERROR(VLOOKUP(NOTAS!C17,NOTAS!C17,1,FALSE),"")</f>
        <v>45659</v>
      </c>
      <c r="D54" s="41" t="str">
        <f>IFERROR(VLOOKUP(NOTAS!D17,NOTAS!D17,1,FALSE),"")</f>
        <v>FREELANCE</v>
      </c>
      <c r="E54" s="42">
        <f>IFERROR(VLOOKUP(NOTAS!E17,NOTAS!E17,1,FALSE),"")</f>
        <v>350</v>
      </c>
    </row>
    <row r="55" spans="3:5" x14ac:dyDescent="0.35">
      <c r="C55" s="40">
        <f>IFERROR(VLOOKUP(NOTAS!C18,NOTAS!C18,1,FALSE),"")</f>
        <v>45779</v>
      </c>
      <c r="D55" s="41" t="str">
        <f>IFERROR(VLOOKUP(NOTAS!D18,NOTAS!D18,1,FALSE),"")</f>
        <v>CNPJ</v>
      </c>
      <c r="E55" s="42">
        <f>IFERROR(VLOOKUP(NOTAS!E18,NOTAS!E18,1,FALSE),"")</f>
        <v>1500</v>
      </c>
    </row>
    <row r="56" spans="3:5" x14ac:dyDescent="0.35">
      <c r="C56" s="40" t="str">
        <f>IFERROR(VLOOKUP(NOTAS!C19,NOTAS!C19,1,FALSE),"")</f>
        <v/>
      </c>
      <c r="D56" s="41" t="str">
        <f>IFERROR(VLOOKUP(NOTAS!D19,NOTAS!D19,1,FALSE),"")</f>
        <v/>
      </c>
      <c r="E56" s="42" t="str">
        <f>IFERROR(VLOOKUP(NOTAS!E19,NOTAS!E19,1,FALSE),"")</f>
        <v/>
      </c>
    </row>
    <row r="57" spans="3:5" x14ac:dyDescent="0.35">
      <c r="C57" s="40" t="str">
        <f>IFERROR(VLOOKUP(NOTAS!C20,NOTAS!C20,1,FALSE),"")</f>
        <v/>
      </c>
      <c r="D57" s="41" t="str">
        <f>IFERROR(VLOOKUP(NOTAS!D20,NOTAS!D20,1,FALSE),"")</f>
        <v/>
      </c>
      <c r="E57" s="42" t="str">
        <f>IFERROR(VLOOKUP(NOTAS!E20,NOTAS!E20,1,FALSE),"")</f>
        <v/>
      </c>
    </row>
    <row r="58" spans="3:5" x14ac:dyDescent="0.35">
      <c r="C58" s="40" t="str">
        <f>IFERROR(VLOOKUP(NOTAS!C21,NOTAS!C21,1,FALSE),"")</f>
        <v/>
      </c>
      <c r="D58" s="41" t="str">
        <f>IFERROR(VLOOKUP(NOTAS!D21,NOTAS!D21,1,FALSE),"")</f>
        <v/>
      </c>
      <c r="E58" s="42" t="str">
        <f>IFERROR(VLOOKUP(NOTAS!E21,NOTAS!E21,1,FALSE),"")</f>
        <v/>
      </c>
    </row>
    <row r="59" spans="3:5" x14ac:dyDescent="0.35">
      <c r="C59" s="40" t="str">
        <f>IFERROR(VLOOKUP(NOTAS!C22,NOTAS!C22,1,FALSE),"")</f>
        <v/>
      </c>
      <c r="D59" s="41" t="str">
        <f>IFERROR(VLOOKUP(NOTAS!D22,NOTAS!D22,1,FALSE),"")</f>
        <v/>
      </c>
      <c r="E59" s="42" t="str">
        <f>IFERROR(VLOOKUP(NOTAS!E22,NOTAS!E22,1,FALSE),"")</f>
        <v/>
      </c>
    </row>
    <row r="60" spans="3:5" x14ac:dyDescent="0.35">
      <c r="C60" s="40" t="str">
        <f>IFERROR(VLOOKUP(NOTAS!C23,NOTAS!C23,1,FALSE),"")</f>
        <v/>
      </c>
      <c r="D60" s="41" t="str">
        <f>IFERROR(VLOOKUP(NOTAS!D23,NOTAS!D23,1,FALSE),"")</f>
        <v/>
      </c>
      <c r="E60" s="42" t="str">
        <f>IFERROR(VLOOKUP(NOTAS!E23,NOTAS!E23,1,FALSE),"")</f>
        <v/>
      </c>
    </row>
    <row r="61" spans="3:5" x14ac:dyDescent="0.35">
      <c r="C61" s="40" t="str">
        <f>IFERROR(VLOOKUP(NOTAS!C24,NOTAS!C24,1,FALSE),"")</f>
        <v/>
      </c>
      <c r="D61" s="41" t="str">
        <f>IFERROR(VLOOKUP(NOTAS!D24,NOTAS!D24,1,FALSE),"")</f>
        <v/>
      </c>
      <c r="E61" s="42" t="str">
        <f>IFERROR(VLOOKUP(NOTAS!E24,NOTAS!E24,1,FALSE),"")</f>
        <v/>
      </c>
    </row>
    <row r="62" spans="3:5" x14ac:dyDescent="0.35">
      <c r="C62" s="40" t="str">
        <f>IFERROR(VLOOKUP(NOTAS!C25,NOTAS!C25,1,FALSE),"")</f>
        <v/>
      </c>
      <c r="D62" s="41" t="str">
        <f>IFERROR(VLOOKUP(NOTAS!D25,NOTAS!D25,1,FALSE),"")</f>
        <v/>
      </c>
      <c r="E62" s="42" t="str">
        <f>IFERROR(VLOOKUP(NOTAS!E25,NOTAS!E25,1,FALSE),"")</f>
        <v/>
      </c>
    </row>
    <row r="63" spans="3:5" x14ac:dyDescent="0.35">
      <c r="C63" s="40" t="str">
        <f>IFERROR(VLOOKUP(NOTAS!C26,NOTAS!C26,1,FALSE),"")</f>
        <v/>
      </c>
      <c r="D63" s="41" t="str">
        <f>IFERROR(VLOOKUP(NOTAS!D26,NOTAS!D26,1,FALSE),"")</f>
        <v/>
      </c>
      <c r="E63" s="42" t="str">
        <f>IFERROR(VLOOKUP(NOTAS!E26,NOTAS!E26,1,FALSE),"")</f>
        <v/>
      </c>
    </row>
    <row r="64" spans="3:5" x14ac:dyDescent="0.35">
      <c r="C64" s="40" t="str">
        <f>IFERROR(VLOOKUP(NOTAS!C27,NOTAS!C27,1,FALSE),"")</f>
        <v/>
      </c>
      <c r="D64" s="41" t="str">
        <f>IFERROR(VLOOKUP(NOTAS!D27,NOTAS!D27,1,FALSE),"")</f>
        <v/>
      </c>
      <c r="E64" s="42" t="str">
        <f>IFERROR(VLOOKUP(NOTAS!E27,NOTAS!E27,1,FALSE),"")</f>
        <v/>
      </c>
    </row>
    <row r="65" spans="3:5" x14ac:dyDescent="0.35">
      <c r="C65" s="22"/>
      <c r="D65" s="26"/>
      <c r="E65" s="24"/>
    </row>
    <row r="66" spans="3:5" x14ac:dyDescent="0.35">
      <c r="C66" s="22"/>
      <c r="D66" s="26"/>
      <c r="E66" s="24"/>
    </row>
  </sheetData>
  <sheetProtection sheet="1" objects="1" scenarios="1" selectLockedCells="1"/>
  <mergeCells count="5">
    <mergeCell ref="C4:E4"/>
    <mergeCell ref="C8:E8"/>
    <mergeCell ref="C25:E25"/>
    <mergeCell ref="C28:D28"/>
    <mergeCell ref="C45:E45"/>
  </mergeCells>
  <pageMargins left="0.511811024" right="0.511811024" top="0.78740157499999996" bottom="0.78740157499999996" header="0.31496062000000002" footer="0.31496062000000002"/>
  <pageSetup paperSize="9" scale="69" orientation="portrait" r:id="rId1"/>
  <ignoredErrors>
    <ignoredError sqref="D10:D13 D31:D33 D36:D38 D41:D43 C47:C48 C49:E64 D47:E48 C28 D14:D23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FCB94-F94E-48F5-8567-397BA0BF74C6}">
  <sheetPr codeName="Planilha5"/>
  <dimension ref="A1:A51"/>
  <sheetViews>
    <sheetView showGridLines="0" topLeftCell="A32" workbookViewId="0">
      <selection activeCell="I9" sqref="I9"/>
    </sheetView>
  </sheetViews>
  <sheetFormatPr defaultRowHeight="14.5" x14ac:dyDescent="0.35"/>
  <cols>
    <col min="1" max="1" width="34.81640625" bestFit="1" customWidth="1"/>
  </cols>
  <sheetData>
    <row r="1" spans="1:1" x14ac:dyDescent="0.35">
      <c r="A1" s="8" t="s">
        <v>29</v>
      </c>
    </row>
    <row r="2" spans="1:1" x14ac:dyDescent="0.35">
      <c r="A2" s="7" t="s">
        <v>30</v>
      </c>
    </row>
    <row r="3" spans="1:1" x14ac:dyDescent="0.35">
      <c r="A3" s="7" t="s">
        <v>31</v>
      </c>
    </row>
    <row r="4" spans="1:1" x14ac:dyDescent="0.35">
      <c r="A4" s="7" t="s">
        <v>32</v>
      </c>
    </row>
    <row r="5" spans="1:1" x14ac:dyDescent="0.35">
      <c r="A5" s="7" t="s">
        <v>33</v>
      </c>
    </row>
    <row r="6" spans="1:1" x14ac:dyDescent="0.35">
      <c r="A6" s="7" t="s">
        <v>34</v>
      </c>
    </row>
    <row r="7" spans="1:1" x14ac:dyDescent="0.35">
      <c r="A7" s="7" t="s">
        <v>35</v>
      </c>
    </row>
    <row r="8" spans="1:1" x14ac:dyDescent="0.35">
      <c r="A8" s="7" t="s">
        <v>36</v>
      </c>
    </row>
    <row r="9" spans="1:1" x14ac:dyDescent="0.35">
      <c r="A9" s="7" t="s">
        <v>37</v>
      </c>
    </row>
    <row r="10" spans="1:1" x14ac:dyDescent="0.35">
      <c r="A10" s="7" t="s">
        <v>38</v>
      </c>
    </row>
    <row r="11" spans="1:1" x14ac:dyDescent="0.35">
      <c r="A11" s="7" t="s">
        <v>39</v>
      </c>
    </row>
    <row r="12" spans="1:1" x14ac:dyDescent="0.35">
      <c r="A12" s="7" t="s">
        <v>40</v>
      </c>
    </row>
    <row r="13" spans="1:1" x14ac:dyDescent="0.35">
      <c r="A13" s="7" t="s">
        <v>41</v>
      </c>
    </row>
    <row r="14" spans="1:1" x14ac:dyDescent="0.35">
      <c r="A14" s="7" t="s">
        <v>42</v>
      </c>
    </row>
    <row r="15" spans="1:1" x14ac:dyDescent="0.35">
      <c r="A15" s="7" t="s">
        <v>43</v>
      </c>
    </row>
    <row r="16" spans="1:1" x14ac:dyDescent="0.35">
      <c r="A16" s="7" t="s">
        <v>44</v>
      </c>
    </row>
    <row r="17" spans="1:1" x14ac:dyDescent="0.35">
      <c r="A17" s="7" t="s">
        <v>45</v>
      </c>
    </row>
    <row r="18" spans="1:1" x14ac:dyDescent="0.35">
      <c r="A18" s="7" t="s">
        <v>46</v>
      </c>
    </row>
    <row r="19" spans="1:1" x14ac:dyDescent="0.35">
      <c r="A19" s="7" t="s">
        <v>47</v>
      </c>
    </row>
    <row r="20" spans="1:1" x14ac:dyDescent="0.35">
      <c r="A20" s="7" t="s">
        <v>48</v>
      </c>
    </row>
    <row r="21" spans="1:1" x14ac:dyDescent="0.35">
      <c r="A21" s="7" t="s">
        <v>49</v>
      </c>
    </row>
    <row r="22" spans="1:1" x14ac:dyDescent="0.35">
      <c r="A22" s="7" t="s">
        <v>50</v>
      </c>
    </row>
    <row r="23" spans="1:1" x14ac:dyDescent="0.35">
      <c r="A23" s="7" t="s">
        <v>51</v>
      </c>
    </row>
    <row r="24" spans="1:1" x14ac:dyDescent="0.35">
      <c r="A24" s="7" t="s">
        <v>52</v>
      </c>
    </row>
    <row r="25" spans="1:1" x14ac:dyDescent="0.35">
      <c r="A25" s="7" t="s">
        <v>53</v>
      </c>
    </row>
    <row r="26" spans="1:1" x14ac:dyDescent="0.35">
      <c r="A26" s="7" t="s">
        <v>54</v>
      </c>
    </row>
    <row r="27" spans="1:1" x14ac:dyDescent="0.35">
      <c r="A27" s="7" t="s">
        <v>55</v>
      </c>
    </row>
    <row r="28" spans="1:1" x14ac:dyDescent="0.35">
      <c r="A28" s="7" t="s">
        <v>56</v>
      </c>
    </row>
    <row r="29" spans="1:1" x14ac:dyDescent="0.35">
      <c r="A29" s="7" t="s">
        <v>57</v>
      </c>
    </row>
    <row r="30" spans="1:1" x14ac:dyDescent="0.35">
      <c r="A30" s="7" t="s">
        <v>58</v>
      </c>
    </row>
    <row r="31" spans="1:1" x14ac:dyDescent="0.35">
      <c r="A31" s="7" t="s">
        <v>59</v>
      </c>
    </row>
    <row r="32" spans="1:1" x14ac:dyDescent="0.35">
      <c r="A32" s="7" t="s">
        <v>60</v>
      </c>
    </row>
    <row r="33" spans="1:1" x14ac:dyDescent="0.35">
      <c r="A33" s="7" t="s">
        <v>61</v>
      </c>
    </row>
    <row r="34" spans="1:1" x14ac:dyDescent="0.35">
      <c r="A34" s="7" t="s">
        <v>62</v>
      </c>
    </row>
    <row r="35" spans="1:1" x14ac:dyDescent="0.35">
      <c r="A35" s="7" t="s">
        <v>63</v>
      </c>
    </row>
    <row r="36" spans="1:1" x14ac:dyDescent="0.35">
      <c r="A36" s="7" t="s">
        <v>64</v>
      </c>
    </row>
    <row r="37" spans="1:1" x14ac:dyDescent="0.35">
      <c r="A37" s="7" t="s">
        <v>65</v>
      </c>
    </row>
    <row r="38" spans="1:1" x14ac:dyDescent="0.35">
      <c r="A38" s="7" t="s">
        <v>66</v>
      </c>
    </row>
    <row r="39" spans="1:1" x14ac:dyDescent="0.35">
      <c r="A39" s="7" t="s">
        <v>67</v>
      </c>
    </row>
    <row r="40" spans="1:1" x14ac:dyDescent="0.35">
      <c r="A40" s="7" t="s">
        <v>68</v>
      </c>
    </row>
    <row r="41" spans="1:1" x14ac:dyDescent="0.35">
      <c r="A41" s="7" t="s">
        <v>69</v>
      </c>
    </row>
    <row r="42" spans="1:1" x14ac:dyDescent="0.35">
      <c r="A42" s="7" t="s">
        <v>70</v>
      </c>
    </row>
    <row r="43" spans="1:1" x14ac:dyDescent="0.35">
      <c r="A43" s="7" t="s">
        <v>71</v>
      </c>
    </row>
    <row r="44" spans="1:1" x14ac:dyDescent="0.35">
      <c r="A44" s="7" t="s">
        <v>72</v>
      </c>
    </row>
    <row r="45" spans="1:1" x14ac:dyDescent="0.35">
      <c r="A45" s="7" t="s">
        <v>73</v>
      </c>
    </row>
    <row r="46" spans="1:1" x14ac:dyDescent="0.35">
      <c r="A46" s="7" t="s">
        <v>74</v>
      </c>
    </row>
    <row r="47" spans="1:1" x14ac:dyDescent="0.35">
      <c r="A47" s="7" t="s">
        <v>75</v>
      </c>
    </row>
    <row r="48" spans="1:1" x14ac:dyDescent="0.35">
      <c r="A48" s="7" t="s">
        <v>76</v>
      </c>
    </row>
    <row r="49" spans="1:1" x14ac:dyDescent="0.35">
      <c r="A49" s="7" t="s">
        <v>77</v>
      </c>
    </row>
    <row r="50" spans="1:1" x14ac:dyDescent="0.35">
      <c r="A50" s="7" t="s">
        <v>78</v>
      </c>
    </row>
    <row r="51" spans="1:1" x14ac:dyDescent="0.35">
      <c r="A51" s="7" t="s">
        <v>79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TÍTULAR</vt:lpstr>
      <vt:lpstr>INFORMES</vt:lpstr>
      <vt:lpstr>NOTAS</vt:lpstr>
      <vt:lpstr>RESUMO</vt:lpstr>
      <vt:lpstr>TABELAS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Leandro de Oliveira</dc:creator>
  <cp:lastModifiedBy>Cristian Leandro de Oliveira</cp:lastModifiedBy>
  <cp:lastPrinted>2025-06-19T23:30:36Z</cp:lastPrinted>
  <dcterms:created xsi:type="dcterms:W3CDTF">2025-06-17T00:42:08Z</dcterms:created>
  <dcterms:modified xsi:type="dcterms:W3CDTF">2025-06-19T23:35:39Z</dcterms:modified>
</cp:coreProperties>
</file>